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13_ncr:1_{23CD9E4A-B31C-CF4B-9945-83A5F9E75B19}" xr6:coauthVersionLast="45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Plate 1 - Sheet1" sheetId="1" r:id="rId1"/>
    <sheet name="Sheet1" sheetId="2" r:id="rId2"/>
  </sheets>
  <definedNames>
    <definedName name="MethodPointer1">-1385627104</definedName>
    <definedName name="MethodPointer2">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2" l="1"/>
  <c r="E3" i="2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F38" i="2"/>
  <c r="G38" i="2"/>
  <c r="D39" i="2"/>
  <c r="E39" i="2"/>
  <c r="F39" i="2"/>
  <c r="G39" i="2"/>
  <c r="D40" i="2"/>
  <c r="E40" i="2"/>
  <c r="F40" i="2"/>
  <c r="G40" i="2"/>
  <c r="D41" i="2"/>
  <c r="E41" i="2"/>
  <c r="F41" i="2"/>
  <c r="G41" i="2"/>
  <c r="D42" i="2"/>
  <c r="E42" i="2"/>
  <c r="F42" i="2"/>
  <c r="G42" i="2"/>
  <c r="D43" i="2"/>
  <c r="E43" i="2"/>
  <c r="F43" i="2"/>
  <c r="G43" i="2"/>
  <c r="D44" i="2"/>
  <c r="E44" i="2"/>
  <c r="F44" i="2"/>
  <c r="G44" i="2"/>
  <c r="D45" i="2"/>
  <c r="E45" i="2"/>
  <c r="F45" i="2"/>
  <c r="G45" i="2"/>
  <c r="D46" i="2"/>
  <c r="E46" i="2"/>
  <c r="F46" i="2"/>
  <c r="G46" i="2"/>
  <c r="D47" i="2"/>
  <c r="E47" i="2"/>
  <c r="F47" i="2"/>
  <c r="G47" i="2"/>
  <c r="D48" i="2"/>
  <c r="E48" i="2"/>
  <c r="F48" i="2"/>
  <c r="G48" i="2"/>
  <c r="D49" i="2"/>
  <c r="E49" i="2"/>
  <c r="F49" i="2"/>
  <c r="G49" i="2"/>
  <c r="D50" i="2"/>
  <c r="E50" i="2"/>
  <c r="F50" i="2"/>
  <c r="G50" i="2"/>
  <c r="D51" i="2"/>
  <c r="E51" i="2"/>
  <c r="F51" i="2"/>
  <c r="G51" i="2"/>
  <c r="D52" i="2"/>
  <c r="E52" i="2"/>
  <c r="F52" i="2"/>
  <c r="G52" i="2"/>
  <c r="D53" i="2"/>
  <c r="E53" i="2"/>
  <c r="F53" i="2"/>
  <c r="G53" i="2"/>
  <c r="D54" i="2"/>
  <c r="E54" i="2"/>
  <c r="F54" i="2"/>
  <c r="G54" i="2"/>
  <c r="D55" i="2"/>
  <c r="E55" i="2"/>
  <c r="F55" i="2"/>
  <c r="G55" i="2"/>
  <c r="D56" i="2"/>
  <c r="E56" i="2"/>
  <c r="F56" i="2"/>
  <c r="G56" i="2"/>
  <c r="D57" i="2"/>
  <c r="E57" i="2"/>
  <c r="F57" i="2"/>
  <c r="G57" i="2"/>
  <c r="D58" i="2"/>
  <c r="E58" i="2"/>
  <c r="F58" i="2"/>
  <c r="G58" i="2"/>
  <c r="D59" i="2"/>
  <c r="E59" i="2"/>
  <c r="F59" i="2"/>
  <c r="G59" i="2"/>
  <c r="D60" i="2"/>
  <c r="E60" i="2"/>
  <c r="F60" i="2"/>
  <c r="G60" i="2"/>
  <c r="D61" i="2"/>
  <c r="E61" i="2"/>
  <c r="F61" i="2"/>
  <c r="G61" i="2"/>
  <c r="D62" i="2"/>
  <c r="E62" i="2"/>
  <c r="F62" i="2"/>
  <c r="G62" i="2"/>
  <c r="D63" i="2"/>
  <c r="E63" i="2"/>
  <c r="F63" i="2"/>
  <c r="G63" i="2"/>
  <c r="D64" i="2"/>
  <c r="E64" i="2"/>
  <c r="F64" i="2"/>
  <c r="G64" i="2"/>
  <c r="D65" i="2"/>
  <c r="E65" i="2"/>
  <c r="F65" i="2"/>
  <c r="G65" i="2"/>
  <c r="D66" i="2"/>
  <c r="E66" i="2"/>
  <c r="F66" i="2"/>
  <c r="G66" i="2"/>
  <c r="D67" i="2"/>
  <c r="E67" i="2"/>
  <c r="F67" i="2"/>
  <c r="G67" i="2"/>
  <c r="D68" i="2"/>
  <c r="E68" i="2"/>
  <c r="F68" i="2"/>
  <c r="G68" i="2"/>
  <c r="D69" i="2"/>
  <c r="E69" i="2"/>
  <c r="F69" i="2"/>
  <c r="G69" i="2"/>
  <c r="D70" i="2"/>
  <c r="E70" i="2"/>
  <c r="F70" i="2"/>
  <c r="G70" i="2"/>
  <c r="D71" i="2"/>
  <c r="E71" i="2"/>
  <c r="F71" i="2"/>
  <c r="G71" i="2"/>
  <c r="D72" i="2"/>
  <c r="E72" i="2"/>
  <c r="F72" i="2"/>
  <c r="G72" i="2"/>
  <c r="D73" i="2"/>
  <c r="E73" i="2"/>
  <c r="F73" i="2"/>
  <c r="G73" i="2"/>
  <c r="D74" i="2"/>
  <c r="E74" i="2"/>
  <c r="F74" i="2"/>
  <c r="G74" i="2"/>
  <c r="D75" i="2"/>
  <c r="E75" i="2"/>
  <c r="F75" i="2"/>
  <c r="G75" i="2"/>
  <c r="D76" i="2"/>
  <c r="E76" i="2"/>
  <c r="F76" i="2"/>
  <c r="G76" i="2"/>
  <c r="D77" i="2"/>
  <c r="E77" i="2"/>
  <c r="F77" i="2"/>
  <c r="G77" i="2"/>
  <c r="D78" i="2"/>
  <c r="E78" i="2"/>
  <c r="F78" i="2"/>
  <c r="G78" i="2"/>
  <c r="D79" i="2"/>
  <c r="E79" i="2"/>
  <c r="F79" i="2"/>
  <c r="G79" i="2"/>
  <c r="D80" i="2"/>
  <c r="E80" i="2"/>
  <c r="F80" i="2"/>
  <c r="G80" i="2"/>
  <c r="D81" i="2"/>
  <c r="E81" i="2"/>
  <c r="F81" i="2"/>
  <c r="G81" i="2"/>
  <c r="D82" i="2"/>
  <c r="E82" i="2"/>
  <c r="F82" i="2"/>
  <c r="G82" i="2"/>
  <c r="D83" i="2"/>
  <c r="E83" i="2"/>
  <c r="F83" i="2"/>
  <c r="G83" i="2"/>
  <c r="D84" i="2"/>
  <c r="E84" i="2"/>
  <c r="F84" i="2"/>
  <c r="G84" i="2"/>
  <c r="D85" i="2"/>
  <c r="E85" i="2"/>
  <c r="F85" i="2"/>
  <c r="G85" i="2"/>
  <c r="D86" i="2"/>
  <c r="E86" i="2"/>
  <c r="F86" i="2"/>
  <c r="G86" i="2"/>
  <c r="D87" i="2"/>
  <c r="E87" i="2"/>
  <c r="F87" i="2"/>
  <c r="G87" i="2"/>
  <c r="D88" i="2"/>
  <c r="E88" i="2"/>
  <c r="F88" i="2"/>
  <c r="G88" i="2"/>
  <c r="D89" i="2"/>
  <c r="E89" i="2"/>
  <c r="F89" i="2"/>
  <c r="G89" i="2"/>
  <c r="D90" i="2"/>
  <c r="E90" i="2"/>
  <c r="F90" i="2"/>
  <c r="G90" i="2"/>
  <c r="D91" i="2"/>
  <c r="E91" i="2"/>
  <c r="F91" i="2"/>
  <c r="G91" i="2"/>
  <c r="D92" i="2"/>
  <c r="E92" i="2"/>
  <c r="F92" i="2"/>
  <c r="G92" i="2"/>
  <c r="D93" i="2"/>
  <c r="E93" i="2"/>
  <c r="F93" i="2"/>
  <c r="G93" i="2"/>
  <c r="D94" i="2"/>
  <c r="E94" i="2"/>
  <c r="F94" i="2"/>
  <c r="G94" i="2"/>
  <c r="D95" i="2"/>
  <c r="E95" i="2"/>
  <c r="F95" i="2"/>
  <c r="G95" i="2"/>
  <c r="D96" i="2"/>
  <c r="E96" i="2"/>
  <c r="F96" i="2"/>
  <c r="G96" i="2"/>
  <c r="D97" i="2"/>
  <c r="E97" i="2"/>
  <c r="F97" i="2"/>
  <c r="G97" i="2"/>
  <c r="D98" i="2"/>
  <c r="E98" i="2"/>
  <c r="F98" i="2"/>
  <c r="G98" i="2"/>
  <c r="D99" i="2"/>
  <c r="E99" i="2"/>
  <c r="F99" i="2"/>
  <c r="G99" i="2"/>
  <c r="D100" i="2"/>
  <c r="E100" i="2"/>
  <c r="F100" i="2"/>
  <c r="G100" i="2"/>
  <c r="D101" i="2"/>
  <c r="E101" i="2"/>
  <c r="F101" i="2"/>
  <c r="G101" i="2"/>
  <c r="D102" i="2"/>
  <c r="E102" i="2"/>
  <c r="F102" i="2"/>
  <c r="G102" i="2"/>
  <c r="D103" i="2"/>
  <c r="E103" i="2"/>
  <c r="F103" i="2"/>
  <c r="G103" i="2"/>
  <c r="D104" i="2"/>
  <c r="E104" i="2"/>
  <c r="F104" i="2"/>
  <c r="G104" i="2"/>
  <c r="D105" i="2"/>
  <c r="E105" i="2"/>
  <c r="F105" i="2"/>
  <c r="G105" i="2"/>
  <c r="D106" i="2"/>
  <c r="E106" i="2"/>
  <c r="F106" i="2"/>
  <c r="G106" i="2"/>
  <c r="D107" i="2"/>
  <c r="E107" i="2"/>
  <c r="F107" i="2"/>
  <c r="G107" i="2"/>
  <c r="D108" i="2"/>
  <c r="E108" i="2"/>
  <c r="F108" i="2"/>
  <c r="G108" i="2"/>
  <c r="D109" i="2"/>
  <c r="E109" i="2"/>
  <c r="F109" i="2"/>
  <c r="G109" i="2"/>
  <c r="D110" i="2"/>
  <c r="E110" i="2"/>
  <c r="F110" i="2"/>
  <c r="G110" i="2"/>
  <c r="D111" i="2"/>
  <c r="E111" i="2"/>
  <c r="F111" i="2"/>
  <c r="G111" i="2"/>
  <c r="D112" i="2"/>
  <c r="E112" i="2"/>
  <c r="F112" i="2"/>
  <c r="G112" i="2"/>
  <c r="D113" i="2"/>
  <c r="E113" i="2"/>
  <c r="F113" i="2"/>
  <c r="G113" i="2"/>
  <c r="D114" i="2"/>
  <c r="E114" i="2"/>
  <c r="F114" i="2"/>
  <c r="G114" i="2"/>
  <c r="D115" i="2"/>
  <c r="E115" i="2"/>
  <c r="F115" i="2"/>
  <c r="G115" i="2"/>
  <c r="D116" i="2"/>
  <c r="E116" i="2"/>
  <c r="F116" i="2"/>
  <c r="G116" i="2"/>
  <c r="D117" i="2"/>
  <c r="E117" i="2"/>
  <c r="F117" i="2"/>
  <c r="G117" i="2"/>
  <c r="D118" i="2"/>
  <c r="E118" i="2"/>
  <c r="F118" i="2"/>
  <c r="G118" i="2"/>
  <c r="D119" i="2"/>
  <c r="E119" i="2"/>
  <c r="F119" i="2"/>
  <c r="G119" i="2"/>
  <c r="D120" i="2"/>
  <c r="E120" i="2"/>
  <c r="F120" i="2"/>
  <c r="G120" i="2"/>
  <c r="D121" i="2"/>
  <c r="E121" i="2"/>
  <c r="F121" i="2"/>
  <c r="G121" i="2"/>
  <c r="D122" i="2"/>
  <c r="E122" i="2"/>
  <c r="F122" i="2"/>
  <c r="G122" i="2"/>
  <c r="D123" i="2"/>
  <c r="E123" i="2"/>
  <c r="F123" i="2"/>
  <c r="G123" i="2"/>
  <c r="D124" i="2"/>
  <c r="E124" i="2"/>
  <c r="F124" i="2"/>
  <c r="G124" i="2"/>
  <c r="D125" i="2"/>
  <c r="E125" i="2"/>
  <c r="F125" i="2"/>
  <c r="G125" i="2"/>
  <c r="D126" i="2"/>
  <c r="E126" i="2"/>
  <c r="F126" i="2"/>
  <c r="G126" i="2"/>
  <c r="D127" i="2"/>
  <c r="E127" i="2"/>
  <c r="F127" i="2"/>
  <c r="G127" i="2"/>
  <c r="D128" i="2"/>
  <c r="E128" i="2"/>
  <c r="F128" i="2"/>
  <c r="G128" i="2"/>
  <c r="D129" i="2"/>
  <c r="E129" i="2"/>
  <c r="F129" i="2"/>
  <c r="G129" i="2"/>
  <c r="D130" i="2"/>
  <c r="E130" i="2"/>
  <c r="F130" i="2"/>
  <c r="G130" i="2"/>
  <c r="D131" i="2"/>
  <c r="E131" i="2"/>
  <c r="F131" i="2"/>
  <c r="G131" i="2"/>
  <c r="D132" i="2"/>
  <c r="E132" i="2"/>
  <c r="F132" i="2"/>
  <c r="G132" i="2"/>
  <c r="D133" i="2"/>
  <c r="E133" i="2"/>
  <c r="F133" i="2"/>
  <c r="G133" i="2"/>
  <c r="D134" i="2"/>
  <c r="E134" i="2"/>
  <c r="F134" i="2"/>
  <c r="G134" i="2"/>
  <c r="D135" i="2"/>
  <c r="E135" i="2"/>
  <c r="F135" i="2"/>
  <c r="G135" i="2"/>
  <c r="D136" i="2"/>
  <c r="E136" i="2"/>
  <c r="F136" i="2"/>
  <c r="G136" i="2"/>
  <c r="D137" i="2"/>
  <c r="E137" i="2"/>
  <c r="F137" i="2"/>
  <c r="G137" i="2"/>
  <c r="D138" i="2"/>
  <c r="E138" i="2"/>
  <c r="F138" i="2"/>
  <c r="G138" i="2"/>
  <c r="D2" i="2"/>
  <c r="E2" i="2"/>
  <c r="F2" i="2"/>
  <c r="G2" i="2" s="1"/>
</calcChain>
</file>

<file path=xl/sharedStrings.xml><?xml version="1.0" encoding="utf-8"?>
<sst xmlns="http://schemas.openxmlformats.org/spreadsheetml/2006/main" count="613" uniqueCount="233">
  <si>
    <t>Software Version</t>
  </si>
  <si>
    <t>3.11.19</t>
  </si>
  <si>
    <t>Experiment File Path:</t>
  </si>
  <si>
    <t>C:\Users\Allison Lab\Documents\Jennifer Martiny Lab\Alberto\temp_exps\initalOD031324_p1.xpt</t>
  </si>
  <si>
    <t>Protocol File Path:</t>
  </si>
  <si>
    <t>C:\Users\Allison Lab\Documents\Jennifer Martiny Lab\Alberto\initialOD.prt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</si>
  <si>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</si>
  <si>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</si>
  <si>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</si>
  <si>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</si>
  <si>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</si>
  <si>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</si>
  <si>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</si>
  <si>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</si>
  <si>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</si>
  <si>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</si>
  <si>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</si>
  <si>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</si>
  <si>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</si>
  <si>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</si>
  <si>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</si>
  <si>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</si>
  <si>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</si>
  <si>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</si>
  <si>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</si>
  <si>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</si>
  <si>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</si>
  <si>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</si>
  <si>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</si>
  <si>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</si>
  <si>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</si>
  <si>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</si>
  <si>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</si>
  <si>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</si>
  <si>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</si>
  <si>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</si>
  <si>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</si>
  <si>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</si>
  <si>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</si>
  <si>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</si>
  <si>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</si>
  <si>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</si>
  <si>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</si>
  <si>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</si>
  <si>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</si>
  <si>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</si>
  <si>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</si>
  <si>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</si>
  <si>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</si>
  <si>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</si>
  <si>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</si>
  <si>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</si>
  <si>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</si>
  <si>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</si>
  <si>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</si>
  <si>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</si>
  <si>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</si>
  <si>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</si>
  <si>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</si>
  <si>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</si>
  <si>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</si>
  <si>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</si>
  <si>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</si>
  <si>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</si>
  <si>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</si>
  <si>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</si>
  <si>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</si>
  <si>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</si>
  <si>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</si>
  <si>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</si>
  <si>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</si>
  <si>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</si>
  <si>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</si>
  <si>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</si>
  <si>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</si>
  <si>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</si>
  <si>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</si>
  <si>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</si>
  <si>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</si>
  <si>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</si>
  <si>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</si>
  <si>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</si>
  <si>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</si>
  <si>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</si>
  <si>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</si>
  <si>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</si>
  <si>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</si>
  <si>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</si>
  <si>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</si>
  <si>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</si>
  <si>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</si>
  <si>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</si>
  <si>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</si>
  <si>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</si>
  <si>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</si>
  <si>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</si>
  <si>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</si>
  <si>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</si>
  <si>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</si>
  <si>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</si>
  <si>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</si>
  <si>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</si>
  <si>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</si>
  <si>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</si>
  <si>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</si>
  <si>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</si>
  <si>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</si>
  <si>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</si>
  <si>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</si>
  <si>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</si>
  <si>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</si>
  <si>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</si>
  <si>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</si>
  <si>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</si>
  <si>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</si>
  <si>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</si>
  <si>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</si>
  <si>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</si>
  <si>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</si>
  <si>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</si>
  <si>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</si>
  <si>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</si>
  <si>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</si>
  <si>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</si>
  <si>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</si>
  <si>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</si>
  <si>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</si>
  <si>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</si>
  <si>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</si>
  <si>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</si>
  <si>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</si>
  <si>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</si>
  <si>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</si>
  <si>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</si>
  <si>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</si>
  <si>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</si>
  <si>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</si>
  <si>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</si>
  <si>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</si>
  <si>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</si>
  <si>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</si>
  <si>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</si>
  <si>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</si>
  <si>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</si>
  <si>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</si>
  <si>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</si>
  <si>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</si>
  <si>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</si>
  <si>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</si>
  <si>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</si>
  <si>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</si>
  <si>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</si>
  <si>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</si>
  <si>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</si>
  <si>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</si>
  <si>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</si>
  <si>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</si>
  <si>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</si>
  <si>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</si>
  <si>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</si>
  <si>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</si>
  <si>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</si>
  <si>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</si>
  <si>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</si>
  <si>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</si>
  <si>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</si>
  <si>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</si>
  <si>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</si>
  <si>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</si>
  <si>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</si>
  <si>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</si>
  <si>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</si>
  <si>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</si>
  <si>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</si>
  <si>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</si>
  <si>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</si>
  <si>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</si>
  <si>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</si>
  <si>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</si>
  <si>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</si>
  <si>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</si>
  <si>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</si>
  <si>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</si>
  <si>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</si>
  <si>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</si>
  <si>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</si>
  <si>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</si>
  <si>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</si>
  <si>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</si>
  <si>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</si>
  <si>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</si>
  <si>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</si>
  <si>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</si>
  <si>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</si>
  <si>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</si>
  <si>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</si>
  <si>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</si>
  <si>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</si>
  <si>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</si>
  <si>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</si>
  <si>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</si>
  <si>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</si>
  <si>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</si>
  <si>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</si>
  <si>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</si>
  <si>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</si>
  <si>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</si>
  <si>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</si>
  <si>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</si>
  <si>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</si>
  <si>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</si>
  <si>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</si>
  <si>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</si>
  <si>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</si>
  <si>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</si>
  <si>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</si>
  <si>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</si>
  <si>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</si>
  <si>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</si>
  <si>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</si>
  <si>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</si>
  <si>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</si>
  <si>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</si>
  <si>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</si>
  <si>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</si>
  <si>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</si>
  <si>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</si>
  <si>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</si>
  <si>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</si>
  <si>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OD*DF</t>
  </si>
  <si>
    <t>OD-Clear</t>
  </si>
  <si>
    <t>Vol. Culture</t>
  </si>
  <si>
    <t>Vol.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</si>
</sst>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5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32"/>
  <sheetViews>
    <sheetView workbookViewId="0">
      <selection activeCell="B36" sqref="B36:D132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45364</v>
      </c>
    </row>
    <row r="8" spans="1:2" x14ac:dyDescent="0.15">
      <c r="A8" t="s">
        <v>9</v>
      </c>
      <c r="B8" s="2">
        <v>0.48320601851851852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1912092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15" x14ac:dyDescent="0.15">
      <c r="B17" t="s">
        <v>21</v>
      </c>
    </row>
    <row r="18" spans="1:15" x14ac:dyDescent="0.15">
      <c r="B18" t="s">
        <v>22</v>
      </c>
    </row>
    <row r="19" spans="1:15" x14ac:dyDescent="0.15">
      <c r="B19" t="s">
        <v>23</v>
      </c>
    </row>
    <row r="21" spans="1:15" ht="14" x14ac:dyDescent="0.15">
      <c r="A21" s="3" t="s">
        <v>24</v>
      </c>
      <c r="B21" s="4"/>
    </row>
    <row r="23" spans="1:15" x14ac:dyDescent="0.15">
      <c r="B23" s="5"/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6">
        <v>11</v>
      </c>
      <c r="N23" s="6">
        <v>12</v>
      </c>
    </row>
    <row r="24" spans="1:15" ht="14" x14ac:dyDescent="0.15">
      <c r="B24" s="6" t="s">
        <v>25</v>
      </c>
      <c r="C24" s="7" t="s">
        <v>26</v>
      </c>
      <c r="D24" s="7" t="s">
        <v>27</v>
      </c>
      <c r="E24" s="7" t="s">
        <v>28</v>
      </c>
      <c r="F24" s="7" t="s">
        <v>29</v>
      </c>
      <c r="G24" s="7" t="s">
        <v>30</v>
      </c>
      <c r="H24" s="7" t="s">
        <v>31</v>
      </c>
      <c r="I24" s="7" t="s">
        <v>32</v>
      </c>
      <c r="J24" s="7" t="s">
        <v>33</v>
      </c>
      <c r="K24" s="7" t="s">
        <v>34</v>
      </c>
      <c r="L24" s="7" t="s">
        <v>35</v>
      </c>
      <c r="M24" s="7" t="s">
        <v>36</v>
      </c>
      <c r="N24" s="7" t="s">
        <v>37</v>
      </c>
      <c r="O24" s="8" t="s">
        <v>38</v>
      </c>
    </row>
    <row r="25" spans="1:15" ht="14" x14ac:dyDescent="0.15">
      <c r="B25" s="6" t="s">
        <v>39</v>
      </c>
      <c r="C25" s="7" t="s">
        <v>40</v>
      </c>
      <c r="D25" s="7" t="s">
        <v>41</v>
      </c>
      <c r="E25" s="7" t="s">
        <v>42</v>
      </c>
      <c r="F25" s="7" t="s">
        <v>43</v>
      </c>
      <c r="G25" s="7" t="s">
        <v>44</v>
      </c>
      <c r="H25" s="7" t="s">
        <v>45</v>
      </c>
      <c r="I25" s="7" t="s">
        <v>46</v>
      </c>
      <c r="J25" s="7" t="s">
        <v>47</v>
      </c>
      <c r="K25" s="7" t="s">
        <v>48</v>
      </c>
      <c r="L25" s="7" t="s">
        <v>49</v>
      </c>
      <c r="M25" s="7" t="s">
        <v>50</v>
      </c>
      <c r="N25" s="7" t="s">
        <v>51</v>
      </c>
      <c r="O25" s="8" t="s">
        <v>38</v>
      </c>
    </row>
    <row r="26" spans="1:15" ht="14" x14ac:dyDescent="0.15">
      <c r="B26" s="6" t="s">
        <v>52</v>
      </c>
      <c r="C26" s="7" t="s">
        <v>53</v>
      </c>
      <c r="D26" s="7" t="s">
        <v>54</v>
      </c>
      <c r="E26" s="7" t="s">
        <v>55</v>
      </c>
      <c r="F26" s="7" t="s">
        <v>56</v>
      </c>
      <c r="G26" s="7" t="s">
        <v>57</v>
      </c>
      <c r="H26" s="7" t="s">
        <v>58</v>
      </c>
      <c r="I26" s="7" t="s">
        <v>59</v>
      </c>
      <c r="J26" s="7" t="s">
        <v>60</v>
      </c>
      <c r="K26" s="7" t="s">
        <v>61</v>
      </c>
      <c r="L26" s="7" t="s">
        <v>62</v>
      </c>
      <c r="M26" s="7" t="s">
        <v>63</v>
      </c>
      <c r="N26" s="7" t="s">
        <v>64</v>
      </c>
      <c r="O26" s="8" t="s">
        <v>38</v>
      </c>
    </row>
    <row r="27" spans="1:15" ht="14" x14ac:dyDescent="0.15">
      <c r="B27" s="6" t="s">
        <v>65</v>
      </c>
      <c r="C27" s="7" t="s">
        <v>66</v>
      </c>
      <c r="D27" s="7" t="s">
        <v>67</v>
      </c>
      <c r="E27" s="7" t="s">
        <v>68</v>
      </c>
      <c r="F27" s="7" t="s">
        <v>69</v>
      </c>
      <c r="G27" s="7" t="s">
        <v>70</v>
      </c>
      <c r="H27" s="7" t="s">
        <v>71</v>
      </c>
      <c r="I27" s="7" t="s">
        <v>72</v>
      </c>
      <c r="J27" s="7" t="s">
        <v>73</v>
      </c>
      <c r="K27" s="7" t="s">
        <v>74</v>
      </c>
      <c r="L27" s="7" t="s">
        <v>75</v>
      </c>
      <c r="M27" s="7" t="s">
        <v>76</v>
      </c>
      <c r="N27" s="7" t="s">
        <v>77</v>
      </c>
      <c r="O27" s="8" t="s">
        <v>38</v>
      </c>
    </row>
    <row r="28" spans="1:15" ht="14" x14ac:dyDescent="0.15">
      <c r="B28" s="6" t="s">
        <v>78</v>
      </c>
      <c r="C28" s="7" t="s">
        <v>79</v>
      </c>
      <c r="D28" s="7" t="s">
        <v>80</v>
      </c>
      <c r="E28" s="7" t="s">
        <v>81</v>
      </c>
      <c r="F28" s="7" t="s">
        <v>82</v>
      </c>
      <c r="G28" s="7" t="s">
        <v>83</v>
      </c>
      <c r="H28" s="7" t="s">
        <v>84</v>
      </c>
      <c r="I28" s="7" t="s">
        <v>85</v>
      </c>
      <c r="J28" s="7" t="s">
        <v>86</v>
      </c>
      <c r="K28" s="7" t="s">
        <v>87</v>
      </c>
      <c r="L28" s="7" t="s">
        <v>88</v>
      </c>
      <c r="M28" s="7" t="s">
        <v>89</v>
      </c>
      <c r="N28" s="7" t="s">
        <v>90</v>
      </c>
      <c r="O28" s="8" t="s">
        <v>38</v>
      </c>
    </row>
    <row r="29" spans="1:15" ht="14" x14ac:dyDescent="0.15">
      <c r="B29" s="6" t="s">
        <v>91</v>
      </c>
      <c r="C29" s="7" t="s">
        <v>92</v>
      </c>
      <c r="D29" s="7" t="s">
        <v>93</v>
      </c>
      <c r="E29" s="7" t="s">
        <v>94</v>
      </c>
      <c r="F29" s="7" t="s">
        <v>95</v>
      </c>
      <c r="G29" s="7" t="s">
        <v>96</v>
      </c>
      <c r="H29" s="7" t="s">
        <v>97</v>
      </c>
      <c r="I29" s="7" t="s">
        <v>98</v>
      </c>
      <c r="J29" s="7" t="s">
        <v>99</v>
      </c>
      <c r="K29" s="7" t="s">
        <v>100</v>
      </c>
      <c r="L29" s="7" t="s">
        <v>101</v>
      </c>
      <c r="M29" s="7" t="s">
        <v>102</v>
      </c>
      <c r="N29" s="7" t="s">
        <v>103</v>
      </c>
      <c r="O29" s="8" t="s">
        <v>38</v>
      </c>
    </row>
    <row r="30" spans="1:15" ht="14" x14ac:dyDescent="0.15">
      <c r="B30" s="6" t="s">
        <v>104</v>
      </c>
      <c r="C30" s="7" t="s">
        <v>105</v>
      </c>
      <c r="D30" s="7" t="s">
        <v>106</v>
      </c>
      <c r="E30" s="7" t="s">
        <v>107</v>
      </c>
      <c r="F30" s="7" t="s">
        <v>108</v>
      </c>
      <c r="G30" s="7" t="s">
        <v>109</v>
      </c>
      <c r="H30" s="7" t="s">
        <v>110</v>
      </c>
      <c r="I30" s="7" t="s">
        <v>111</v>
      </c>
      <c r="J30" s="7" t="s">
        <v>112</v>
      </c>
      <c r="K30" s="7" t="s">
        <v>113</v>
      </c>
      <c r="L30" s="7" t="s">
        <v>114</v>
      </c>
      <c r="M30" s="7" t="s">
        <v>115</v>
      </c>
      <c r="N30" s="7" t="s">
        <v>116</v>
      </c>
      <c r="O30" s="8" t="s">
        <v>38</v>
      </c>
    </row>
    <row r="31" spans="1:15" ht="14" x14ac:dyDescent="0.15">
      <c r="B31" s="6" t="s">
        <v>117</v>
      </c>
      <c r="C31" s="7" t="s">
        <v>118</v>
      </c>
      <c r="D31" s="7" t="s">
        <v>119</v>
      </c>
      <c r="E31" s="7" t="s">
        <v>120</v>
      </c>
      <c r="F31" s="7" t="s">
        <v>121</v>
      </c>
      <c r="G31" s="7" t="s">
        <v>122</v>
      </c>
      <c r="H31" s="7" t="s">
        <v>123</v>
      </c>
      <c r="I31" s="7" t="s">
        <v>124</v>
      </c>
      <c r="J31" s="7" t="s">
        <v>125</v>
      </c>
      <c r="K31" s="7" t="s">
        <v>126</v>
      </c>
      <c r="L31" s="7" t="s">
        <v>127</v>
      </c>
      <c r="M31" s="7" t="s">
        <v>128</v>
      </c>
      <c r="N31" s="7" t="s">
        <v>129</v>
      </c>
      <c r="O31" s="8" t="s">
        <v>38</v>
      </c>
    </row>
    <row r="33" spans="1:4" ht="14" x14ac:dyDescent="0.15">
      <c r="A33" s="3" t="s">
        <v>130</v>
      </c>
      <c r="B33" s="4"/>
    </row>
    <row r="34" spans="1:4" x14ac:dyDescent="0.15">
      <c r="A34" t="s">
        <v>131</v>
      </c>
      <c r="B34">
        <v>24.1</v>
      </c>
    </row>
    <row r="36" spans="1:4" ht="14" x14ac:dyDescent="0.15">
      <c r="B36" s="6" t="s">
        <v>38</v>
      </c>
      <c r="C36" s="6" t="s">
        <v>132</v>
      </c>
      <c r="D36" s="6">
        <v>600</v>
      </c>
    </row>
    <row r="37" spans="1:4" ht="14" x14ac:dyDescent="0.15">
      <c r="B37" s="9" t="s">
        <v>26</v>
      </c>
      <c r="C37" s="9" t="s">
        <v>133</v>
      </c>
      <c r="D37" s="9">
        <v>9.0499999999999997E-2</v>
      </c>
    </row>
    <row r="38" spans="1:4" ht="14" x14ac:dyDescent="0.15">
      <c r="B38" s="9" t="s">
        <v>40</v>
      </c>
      <c r="C38" s="9" t="s">
        <v>134</v>
      </c>
      <c r="D38" s="9">
        <v>9.8000000000000004E-2</v>
      </c>
    </row>
    <row r="39" spans="1:4" ht="14" x14ac:dyDescent="0.15">
      <c r="B39" s="9" t="s">
        <v>53</v>
      </c>
      <c r="C39" s="9" t="s">
        <v>135</v>
      </c>
      <c r="D39" s="9">
        <v>0.1007</v>
      </c>
    </row>
    <row r="40" spans="1:4" ht="14" x14ac:dyDescent="0.15">
      <c r="B40" s="9" t="s">
        <v>66</v>
      </c>
      <c r="C40" s="9" t="s">
        <v>136</v>
      </c>
      <c r="D40" s="9">
        <v>9.5200000000000007E-2</v>
      </c>
    </row>
    <row r="41" spans="1:4" ht="14" x14ac:dyDescent="0.15">
      <c r="B41" s="9" t="s">
        <v>79</v>
      </c>
      <c r="C41" s="9" t="s">
        <v>137</v>
      </c>
      <c r="D41" s="9">
        <v>9.5699999999999993E-2</v>
      </c>
    </row>
    <row r="42" spans="1:4" ht="14" x14ac:dyDescent="0.15">
      <c r="B42" s="9" t="s">
        <v>92</v>
      </c>
      <c r="C42" s="9" t="s">
        <v>138</v>
      </c>
      <c r="D42" s="9">
        <v>8.8900000000000007E-2</v>
      </c>
    </row>
    <row r="43" spans="1:4" ht="14" x14ac:dyDescent="0.15">
      <c r="B43" s="9" t="s">
        <v>105</v>
      </c>
      <c r="C43" s="9" t="s">
        <v>139</v>
      </c>
      <c r="D43" s="9">
        <v>9.4399999999999998E-2</v>
      </c>
    </row>
    <row r="44" spans="1:4" ht="14" x14ac:dyDescent="0.15">
      <c r="B44" s="9" t="s">
        <v>118</v>
      </c>
      <c r="C44" s="9" t="s">
        <v>140</v>
      </c>
      <c r="D44" s="9">
        <v>9.8000000000000004E-2</v>
      </c>
    </row>
    <row r="45" spans="1:4" ht="14" x14ac:dyDescent="0.15">
      <c r="B45" s="9" t="s">
        <v>27</v>
      </c>
      <c r="C45" s="9" t="s">
        <v>141</v>
      </c>
      <c r="D45" s="9">
        <v>8.5900000000000004E-2</v>
      </c>
    </row>
    <row r="46" spans="1:4" ht="14" x14ac:dyDescent="0.15">
      <c r="B46" s="9" t="s">
        <v>41</v>
      </c>
      <c r="C46" s="9" t="s">
        <v>142</v>
      </c>
      <c r="D46" s="9">
        <v>9.4200000000000006E-2</v>
      </c>
    </row>
    <row r="47" spans="1:4" ht="14" x14ac:dyDescent="0.15">
      <c r="B47" s="9" t="s">
        <v>54</v>
      </c>
      <c r="C47" s="9" t="s">
        <v>143</v>
      </c>
      <c r="D47" s="9">
        <v>0.10440000000000001</v>
      </c>
    </row>
    <row r="48" spans="1:4" ht="14" x14ac:dyDescent="0.15">
      <c r="B48" s="9" t="s">
        <v>67</v>
      </c>
      <c r="C48" s="9" t="s">
        <v>144</v>
      </c>
      <c r="D48" s="9">
        <v>8.8099999999999998E-2</v>
      </c>
    </row>
    <row r="49" spans="2:4" ht="14" x14ac:dyDescent="0.15">
      <c r="B49" s="9" t="s">
        <v>80</v>
      </c>
      <c r="C49" s="9" t="s">
        <v>145</v>
      </c>
      <c r="D49" s="9">
        <v>8.7599999999999997E-2</v>
      </c>
    </row>
    <row r="50" spans="2:4" ht="14" x14ac:dyDescent="0.15">
      <c r="B50" s="9" t="s">
        <v>93</v>
      </c>
      <c r="C50" s="9" t="s">
        <v>146</v>
      </c>
      <c r="D50" s="9">
        <v>9.4100000000000003E-2</v>
      </c>
    </row>
    <row r="51" spans="2:4" ht="14" x14ac:dyDescent="0.15">
      <c r="B51" s="9" t="s">
        <v>106</v>
      </c>
      <c r="C51" s="9" t="s">
        <v>147</v>
      </c>
      <c r="D51" s="9">
        <v>9.6799999999999997E-2</v>
      </c>
    </row>
    <row r="52" spans="2:4" ht="14" x14ac:dyDescent="0.15">
      <c r="B52" s="9" t="s">
        <v>119</v>
      </c>
      <c r="C52" s="9" t="s">
        <v>148</v>
      </c>
      <c r="D52" s="9">
        <v>8.6599999999999996E-2</v>
      </c>
    </row>
    <row r="53" spans="2:4" ht="14" x14ac:dyDescent="0.15">
      <c r="B53" s="9" t="s">
        <v>28</v>
      </c>
      <c r="C53" s="9" t="s">
        <v>149</v>
      </c>
      <c r="D53" s="9">
        <v>9.2499999999999999E-2</v>
      </c>
    </row>
    <row r="54" spans="2:4" ht="14" x14ac:dyDescent="0.15">
      <c r="B54" s="9" t="s">
        <v>42</v>
      </c>
      <c r="C54" s="9" t="s">
        <v>150</v>
      </c>
      <c r="D54" s="9">
        <v>0.10199999999999999</v>
      </c>
    </row>
    <row r="55" spans="2:4" ht="14" x14ac:dyDescent="0.15">
      <c r="B55" s="9" t="s">
        <v>55</v>
      </c>
      <c r="C55" s="9" t="s">
        <v>151</v>
      </c>
      <c r="D55" s="9">
        <v>0.10050000000000001</v>
      </c>
    </row>
    <row r="56" spans="2:4" ht="14" x14ac:dyDescent="0.15">
      <c r="B56" s="9" t="s">
        <v>68</v>
      </c>
      <c r="C56" s="9" t="s">
        <v>152</v>
      </c>
      <c r="D56" s="9">
        <v>9.1499999999999998E-2</v>
      </c>
    </row>
    <row r="57" spans="2:4" ht="14" x14ac:dyDescent="0.15">
      <c r="B57" s="9" t="s">
        <v>81</v>
      </c>
      <c r="C57" s="9" t="s">
        <v>153</v>
      </c>
      <c r="D57" s="9">
        <v>9.2399999999999996E-2</v>
      </c>
    </row>
    <row r="58" spans="2:4" ht="14" x14ac:dyDescent="0.15">
      <c r="B58" s="9" t="s">
        <v>94</v>
      </c>
      <c r="C58" s="9" t="s">
        <v>154</v>
      </c>
      <c r="D58" s="9">
        <v>9.0999999999999998E-2</v>
      </c>
    </row>
    <row r="59" spans="2:4" ht="14" x14ac:dyDescent="0.15">
      <c r="B59" s="9" t="s">
        <v>107</v>
      </c>
      <c r="C59" s="9" t="s">
        <v>155</v>
      </c>
      <c r="D59" s="9">
        <v>0.10390000000000001</v>
      </c>
    </row>
    <row r="60" spans="2:4" ht="14" x14ac:dyDescent="0.15">
      <c r="B60" s="9" t="s">
        <v>120</v>
      </c>
      <c r="C60" s="9" t="s">
        <v>156</v>
      </c>
      <c r="D60" s="9">
        <v>8.8999999999999996E-2</v>
      </c>
    </row>
    <row r="61" spans="2:4" ht="14" x14ac:dyDescent="0.15">
      <c r="B61" s="9" t="s">
        <v>29</v>
      </c>
      <c r="C61" s="9" t="s">
        <v>157</v>
      </c>
      <c r="D61" s="9">
        <v>0.1026</v>
      </c>
    </row>
    <row r="62" spans="2:4" ht="14" x14ac:dyDescent="0.15">
      <c r="B62" s="9" t="s">
        <v>43</v>
      </c>
      <c r="C62" s="9" t="s">
        <v>158</v>
      </c>
      <c r="D62" s="9">
        <v>9.1600000000000001E-2</v>
      </c>
    </row>
    <row r="63" spans="2:4" ht="14" x14ac:dyDescent="0.15">
      <c r="B63" s="9" t="s">
        <v>56</v>
      </c>
      <c r="C63" s="9" t="s">
        <v>159</v>
      </c>
      <c r="D63" s="9">
        <v>0.10150000000000001</v>
      </c>
    </row>
    <row r="64" spans="2:4" ht="14" x14ac:dyDescent="0.15">
      <c r="B64" s="9" t="s">
        <v>69</v>
      </c>
      <c r="C64" s="9" t="s">
        <v>160</v>
      </c>
      <c r="D64" s="9">
        <v>0.1404</v>
      </c>
    </row>
    <row r="65" spans="2:4" ht="14" x14ac:dyDescent="0.15">
      <c r="B65" s="9" t="s">
        <v>82</v>
      </c>
      <c r="C65" s="9" t="s">
        <v>161</v>
      </c>
      <c r="D65" s="9">
        <v>9.8500000000000004E-2</v>
      </c>
    </row>
    <row r="66" spans="2:4" ht="14" x14ac:dyDescent="0.15">
      <c r="B66" s="9" t="s">
        <v>95</v>
      </c>
      <c r="C66" s="9" t="s">
        <v>162</v>
      </c>
      <c r="D66" s="9">
        <v>0.1368</v>
      </c>
    </row>
    <row r="67" spans="2:4" ht="14" x14ac:dyDescent="0.15">
      <c r="B67" s="9" t="s">
        <v>108</v>
      </c>
      <c r="C67" s="9" t="s">
        <v>163</v>
      </c>
      <c r="D67" s="9">
        <v>8.7499999999999994E-2</v>
      </c>
    </row>
    <row r="68" spans="2:4" ht="14" x14ac:dyDescent="0.15">
      <c r="B68" s="9" t="s">
        <v>121</v>
      </c>
      <c r="C68" s="9" t="s">
        <v>164</v>
      </c>
      <c r="D68" s="9">
        <v>9.4200000000000006E-2</v>
      </c>
    </row>
    <row r="69" spans="2:4" ht="14" x14ac:dyDescent="0.15">
      <c r="B69" s="9" t="s">
        <v>30</v>
      </c>
      <c r="C69" s="9" t="s">
        <v>165</v>
      </c>
      <c r="D69" s="9">
        <v>9.9099999999999994E-2</v>
      </c>
    </row>
    <row r="70" spans="2:4" ht="14" x14ac:dyDescent="0.15">
      <c r="B70" s="9" t="s">
        <v>44</v>
      </c>
      <c r="C70" s="9" t="s">
        <v>166</v>
      </c>
      <c r="D70" s="9">
        <v>9.0999999999999998E-2</v>
      </c>
    </row>
    <row r="71" spans="2:4" ht="14" x14ac:dyDescent="0.15">
      <c r="B71" s="9" t="s">
        <v>57</v>
      </c>
      <c r="C71" s="9" t="s">
        <v>167</v>
      </c>
      <c r="D71" s="9">
        <v>9.4100000000000003E-2</v>
      </c>
    </row>
    <row r="72" spans="2:4" ht="14" x14ac:dyDescent="0.15">
      <c r="B72" s="9" t="s">
        <v>70</v>
      </c>
      <c r="C72" s="9" t="s">
        <v>168</v>
      </c>
      <c r="D72" s="9">
        <v>9.6100000000000005E-2</v>
      </c>
    </row>
    <row r="73" spans="2:4" ht="14" x14ac:dyDescent="0.15">
      <c r="B73" s="9" t="s">
        <v>83</v>
      </c>
      <c r="C73" s="9" t="s">
        <v>169</v>
      </c>
      <c r="D73" s="9">
        <v>9.7500000000000003E-2</v>
      </c>
    </row>
    <row r="74" spans="2:4" ht="14" x14ac:dyDescent="0.15">
      <c r="B74" s="9" t="s">
        <v>96</v>
      </c>
      <c r="C74" s="9" t="s">
        <v>170</v>
      </c>
      <c r="D74" s="9">
        <v>9.4200000000000006E-2</v>
      </c>
    </row>
    <row r="75" spans="2:4" ht="14" x14ac:dyDescent="0.15">
      <c r="B75" s="9" t="s">
        <v>109</v>
      </c>
      <c r="C75" s="9" t="s">
        <v>171</v>
      </c>
      <c r="D75" s="9">
        <v>8.9499999999999996E-2</v>
      </c>
    </row>
    <row r="76" spans="2:4" ht="14" x14ac:dyDescent="0.15">
      <c r="B76" s="9" t="s">
        <v>122</v>
      </c>
      <c r="C76" s="9" t="s">
        <v>172</v>
      </c>
      <c r="D76" s="9">
        <v>9.9199999999999997E-2</v>
      </c>
    </row>
    <row r="77" spans="2:4" ht="14" x14ac:dyDescent="0.15">
      <c r="B77" s="9" t="s">
        <v>31</v>
      </c>
      <c r="C77" s="9" t="s">
        <v>173</v>
      </c>
      <c r="D77" s="9">
        <v>8.8800000000000004E-2</v>
      </c>
    </row>
    <row r="78" spans="2:4" ht="14" x14ac:dyDescent="0.15">
      <c r="B78" s="9" t="s">
        <v>45</v>
      </c>
      <c r="C78" s="9" t="s">
        <v>174</v>
      </c>
      <c r="D78" s="9">
        <v>8.9899999999999994E-2</v>
      </c>
    </row>
    <row r="79" spans="2:4" ht="14" x14ac:dyDescent="0.15">
      <c r="B79" s="9" t="s">
        <v>58</v>
      </c>
      <c r="C79" s="9" t="s">
        <v>175</v>
      </c>
      <c r="D79" s="9">
        <v>9.4E-2</v>
      </c>
    </row>
    <row r="80" spans="2:4" ht="14" x14ac:dyDescent="0.15">
      <c r="B80" s="9" t="s">
        <v>71</v>
      </c>
      <c r="C80" s="9" t="s">
        <v>176</v>
      </c>
      <c r="D80" s="9">
        <v>8.5400000000000004E-2</v>
      </c>
    </row>
    <row r="81" spans="2:4" ht="14" x14ac:dyDescent="0.15">
      <c r="B81" s="9" t="s">
        <v>84</v>
      </c>
      <c r="C81" s="9" t="s">
        <v>177</v>
      </c>
      <c r="D81" s="9">
        <v>0.1</v>
      </c>
    </row>
    <row r="82" spans="2:4" ht="14" x14ac:dyDescent="0.15">
      <c r="B82" s="9" t="s">
        <v>97</v>
      </c>
      <c r="C82" s="9" t="s">
        <v>178</v>
      </c>
      <c r="D82" s="9">
        <v>9.5200000000000007E-2</v>
      </c>
    </row>
    <row r="83" spans="2:4" ht="14" x14ac:dyDescent="0.15">
      <c r="B83" s="9" t="s">
        <v>110</v>
      </c>
      <c r="C83" s="9" t="s">
        <v>179</v>
      </c>
      <c r="D83" s="9">
        <v>9.69E-2</v>
      </c>
    </row>
    <row r="84" spans="2:4" ht="14" x14ac:dyDescent="0.15">
      <c r="B84" s="9" t="s">
        <v>123</v>
      </c>
      <c r="C84" s="9" t="s">
        <v>180</v>
      </c>
      <c r="D84" s="9">
        <v>9.98E-2</v>
      </c>
    </row>
    <row r="85" spans="2:4" ht="14" x14ac:dyDescent="0.15">
      <c r="B85" s="9" t="s">
        <v>32</v>
      </c>
      <c r="C85" s="9" t="s">
        <v>181</v>
      </c>
      <c r="D85" s="9">
        <v>8.7800000000000003E-2</v>
      </c>
    </row>
    <row r="86" spans="2:4" ht="14" x14ac:dyDescent="0.15">
      <c r="B86" s="9" t="s">
        <v>46</v>
      </c>
      <c r="C86" s="9" t="s">
        <v>182</v>
      </c>
      <c r="D86" s="9">
        <v>9.2200000000000004E-2</v>
      </c>
    </row>
    <row r="87" spans="2:4" ht="14" x14ac:dyDescent="0.15">
      <c r="B87" s="9" t="s">
        <v>59</v>
      </c>
      <c r="C87" s="9" t="s">
        <v>183</v>
      </c>
      <c r="D87" s="9">
        <v>9.8199999999999996E-2</v>
      </c>
    </row>
    <row r="88" spans="2:4" ht="14" x14ac:dyDescent="0.15">
      <c r="B88" s="9" t="s">
        <v>72</v>
      </c>
      <c r="C88" s="9" t="s">
        <v>184</v>
      </c>
      <c r="D88" s="9">
        <v>8.8800000000000004E-2</v>
      </c>
    </row>
    <row r="89" spans="2:4" ht="14" x14ac:dyDescent="0.15">
      <c r="B89" s="9" t="s">
        <v>85</v>
      </c>
      <c r="C89" s="9" t="s">
        <v>185</v>
      </c>
      <c r="D89" s="9">
        <v>9.1300000000000006E-2</v>
      </c>
    </row>
    <row r="90" spans="2:4" ht="14" x14ac:dyDescent="0.15">
      <c r="B90" s="9" t="s">
        <v>98</v>
      </c>
      <c r="C90" s="9" t="s">
        <v>186</v>
      </c>
      <c r="D90" s="9">
        <v>9.6600000000000005E-2</v>
      </c>
    </row>
    <row r="91" spans="2:4" ht="14" x14ac:dyDescent="0.15">
      <c r="B91" s="9" t="s">
        <v>111</v>
      </c>
      <c r="C91" s="9" t="s">
        <v>187</v>
      </c>
      <c r="D91" s="9">
        <v>0.10680000000000001</v>
      </c>
    </row>
    <row r="92" spans="2:4" ht="14" x14ac:dyDescent="0.15">
      <c r="B92" s="9" t="s">
        <v>124</v>
      </c>
      <c r="C92" s="9" t="s">
        <v>188</v>
      </c>
      <c r="D92" s="9">
        <v>9.2399999999999996E-2</v>
      </c>
    </row>
    <row r="93" spans="2:4" ht="14" x14ac:dyDescent="0.15">
      <c r="B93" s="9" t="s">
        <v>33</v>
      </c>
      <c r="C93" s="9" t="s">
        <v>189</v>
      </c>
      <c r="D93" s="9">
        <v>8.6400000000000005E-2</v>
      </c>
    </row>
    <row r="94" spans="2:4" ht="14" x14ac:dyDescent="0.15">
      <c r="B94" s="9" t="s">
        <v>47</v>
      </c>
      <c r="C94" s="9" t="s">
        <v>190</v>
      </c>
      <c r="D94" s="9">
        <v>9.8100000000000007E-2</v>
      </c>
    </row>
    <row r="95" spans="2:4" ht="14" x14ac:dyDescent="0.15">
      <c r="B95" s="9" t="s">
        <v>60</v>
      </c>
      <c r="C95" s="9" t="s">
        <v>191</v>
      </c>
      <c r="D95" s="9">
        <v>9.8599999999999993E-2</v>
      </c>
    </row>
    <row r="96" spans="2:4" ht="14" x14ac:dyDescent="0.15">
      <c r="B96" s="9" t="s">
        <v>73</v>
      </c>
      <c r="C96" s="9" t="s">
        <v>192</v>
      </c>
      <c r="D96" s="9">
        <v>0.1009</v>
      </c>
    </row>
    <row r="97" spans="2:4" ht="14" x14ac:dyDescent="0.15">
      <c r="B97" s="9" t="s">
        <v>86</v>
      </c>
      <c r="C97" s="9" t="s">
        <v>193</v>
      </c>
      <c r="D97" s="9">
        <v>9.8900000000000002E-2</v>
      </c>
    </row>
    <row r="98" spans="2:4" ht="14" x14ac:dyDescent="0.15">
      <c r="B98" s="9" t="s">
        <v>99</v>
      </c>
      <c r="C98" s="9" t="s">
        <v>194</v>
      </c>
      <c r="D98" s="9">
        <v>8.7999999999999995E-2</v>
      </c>
    </row>
    <row r="99" spans="2:4" ht="14" x14ac:dyDescent="0.15">
      <c r="B99" s="9" t="s">
        <v>112</v>
      </c>
      <c r="C99" s="9" t="s">
        <v>195</v>
      </c>
      <c r="D99" s="9">
        <v>0.1028</v>
      </c>
    </row>
    <row r="100" spans="2:4" ht="14" x14ac:dyDescent="0.15">
      <c r="B100" s="9" t="s">
        <v>125</v>
      </c>
      <c r="C100" s="9" t="s">
        <v>196</v>
      </c>
      <c r="D100" s="9">
        <v>9.0499999999999997E-2</v>
      </c>
    </row>
    <row r="101" spans="2:4" ht="14" x14ac:dyDescent="0.15">
      <c r="B101" s="9" t="s">
        <v>34</v>
      </c>
      <c r="C101" s="9" t="s">
        <v>197</v>
      </c>
      <c r="D101" s="9">
        <v>9.4E-2</v>
      </c>
    </row>
    <row r="102" spans="2:4" ht="14" x14ac:dyDescent="0.15">
      <c r="B102" s="9" t="s">
        <v>48</v>
      </c>
      <c r="C102" s="9" t="s">
        <v>198</v>
      </c>
      <c r="D102" s="9">
        <v>9.8900000000000002E-2</v>
      </c>
    </row>
    <row r="103" spans="2:4" ht="14" x14ac:dyDescent="0.15">
      <c r="B103" s="9" t="s">
        <v>61</v>
      </c>
      <c r="C103" s="9" t="s">
        <v>199</v>
      </c>
      <c r="D103" s="9">
        <v>9.2799999999999994E-2</v>
      </c>
    </row>
    <row r="104" spans="2:4" ht="14" x14ac:dyDescent="0.15">
      <c r="B104" s="9" t="s">
        <v>74</v>
      </c>
      <c r="C104" s="9" t="s">
        <v>200</v>
      </c>
      <c r="D104" s="9">
        <v>0.12609999999999999</v>
      </c>
    </row>
    <row r="105" spans="2:4" ht="14" x14ac:dyDescent="0.15">
      <c r="B105" s="9" t="s">
        <v>87</v>
      </c>
      <c r="C105" s="9" t="s">
        <v>201</v>
      </c>
      <c r="D105" s="9">
        <v>9.4299999999999995E-2</v>
      </c>
    </row>
    <row r="106" spans="2:4" ht="14" x14ac:dyDescent="0.15">
      <c r="B106" s="9" t="s">
        <v>100</v>
      </c>
      <c r="C106" s="9" t="s">
        <v>202</v>
      </c>
      <c r="D106" s="9">
        <v>0.1132</v>
      </c>
    </row>
    <row r="107" spans="2:4" ht="14" x14ac:dyDescent="0.15">
      <c r="B107" s="9" t="s">
        <v>113</v>
      </c>
      <c r="C107" s="9" t="s">
        <v>203</v>
      </c>
      <c r="D107" s="9">
        <v>9.9099999999999994E-2</v>
      </c>
    </row>
    <row r="108" spans="2:4" ht="14" x14ac:dyDescent="0.15">
      <c r="B108" s="9" t="s">
        <v>126</v>
      </c>
      <c r="C108" s="9" t="s">
        <v>204</v>
      </c>
      <c r="D108" s="9">
        <v>0.09</v>
      </c>
    </row>
    <row r="109" spans="2:4" ht="14" x14ac:dyDescent="0.15">
      <c r="B109" s="9" t="s">
        <v>35</v>
      </c>
      <c r="C109" s="9" t="s">
        <v>205</v>
      </c>
      <c r="D109" s="9">
        <v>9.1499999999999998E-2</v>
      </c>
    </row>
    <row r="110" spans="2:4" ht="14" x14ac:dyDescent="0.15">
      <c r="B110" s="9" t="s">
        <v>49</v>
      </c>
      <c r="C110" s="9" t="s">
        <v>206</v>
      </c>
      <c r="D110" s="9">
        <v>9.0200000000000002E-2</v>
      </c>
    </row>
    <row r="111" spans="2:4" ht="14" x14ac:dyDescent="0.15">
      <c r="B111" s="9" t="s">
        <v>62</v>
      </c>
      <c r="C111" s="9" t="s">
        <v>207</v>
      </c>
      <c r="D111" s="9">
        <v>0.1037</v>
      </c>
    </row>
    <row r="112" spans="2:4" ht="14" x14ac:dyDescent="0.15">
      <c r="B112" s="9" t="s">
        <v>75</v>
      </c>
      <c r="C112" s="9" t="s">
        <v>208</v>
      </c>
      <c r="D112" s="9">
        <v>9.3100000000000002E-2</v>
      </c>
    </row>
    <row r="113" spans="2:4" ht="14" x14ac:dyDescent="0.15">
      <c r="B113" s="9" t="s">
        <v>88</v>
      </c>
      <c r="C113" s="9" t="s">
        <v>209</v>
      </c>
      <c r="D113" s="9">
        <v>8.9399999999999993E-2</v>
      </c>
    </row>
    <row r="114" spans="2:4" ht="14" x14ac:dyDescent="0.15">
      <c r="B114" s="9" t="s">
        <v>101</v>
      </c>
      <c r="C114" s="9" t="s">
        <v>210</v>
      </c>
      <c r="D114" s="9">
        <v>8.9499999999999996E-2</v>
      </c>
    </row>
    <row r="115" spans="2:4" ht="14" x14ac:dyDescent="0.15">
      <c r="B115" s="9" t="s">
        <v>114</v>
      </c>
      <c r="C115" s="9" t="s">
        <v>211</v>
      </c>
      <c r="D115" s="9">
        <v>0.10199999999999999</v>
      </c>
    </row>
    <row r="116" spans="2:4" ht="14" x14ac:dyDescent="0.15">
      <c r="B116" s="9" t="s">
        <v>127</v>
      </c>
      <c r="C116" s="9" t="s">
        <v>212</v>
      </c>
      <c r="D116" s="9">
        <v>9.2799999999999994E-2</v>
      </c>
    </row>
    <row r="117" spans="2:4" ht="14" x14ac:dyDescent="0.15">
      <c r="B117" s="9" t="s">
        <v>36</v>
      </c>
      <c r="C117" s="9" t="s">
        <v>213</v>
      </c>
      <c r="D117" s="9">
        <v>0.10009999999999999</v>
      </c>
    </row>
    <row r="118" spans="2:4" ht="14" x14ac:dyDescent="0.15">
      <c r="B118" s="9" t="s">
        <v>50</v>
      </c>
      <c r="C118" s="9" t="s">
        <v>214</v>
      </c>
      <c r="D118" s="9">
        <v>9.0999999999999998E-2</v>
      </c>
    </row>
    <row r="119" spans="2:4" ht="14" x14ac:dyDescent="0.15">
      <c r="B119" s="9" t="s">
        <v>63</v>
      </c>
      <c r="C119" s="9" t="s">
        <v>215</v>
      </c>
      <c r="D119" s="9">
        <v>0.1052</v>
      </c>
    </row>
    <row r="120" spans="2:4" ht="14" x14ac:dyDescent="0.15">
      <c r="B120" s="9" t="s">
        <v>76</v>
      </c>
      <c r="C120" s="9" t="s">
        <v>216</v>
      </c>
      <c r="D120" s="9">
        <v>9.9199999999999997E-2</v>
      </c>
    </row>
    <row r="121" spans="2:4" ht="14" x14ac:dyDescent="0.15">
      <c r="B121" s="9" t="s">
        <v>89</v>
      </c>
      <c r="C121" s="9" t="s">
        <v>217</v>
      </c>
      <c r="D121" s="9">
        <v>9.0399999999999994E-2</v>
      </c>
    </row>
    <row r="122" spans="2:4" ht="14" x14ac:dyDescent="0.15">
      <c r="B122" s="9" t="s">
        <v>102</v>
      </c>
      <c r="C122" s="9" t="s">
        <v>218</v>
      </c>
      <c r="D122" s="9">
        <v>9.9299999999999999E-2</v>
      </c>
    </row>
    <row r="123" spans="2:4" ht="14" x14ac:dyDescent="0.15">
      <c r="B123" s="9" t="s">
        <v>115</v>
      </c>
      <c r="C123" s="9" t="s">
        <v>219</v>
      </c>
      <c r="D123" s="9">
        <v>0.1065</v>
      </c>
    </row>
    <row r="124" spans="2:4" ht="14" x14ac:dyDescent="0.15">
      <c r="B124" s="9" t="s">
        <v>128</v>
      </c>
      <c r="C124" s="9" t="s">
        <v>220</v>
      </c>
      <c r="D124" s="9">
        <v>8.77E-2</v>
      </c>
    </row>
    <row r="125" spans="2:4" ht="14" x14ac:dyDescent="0.15">
      <c r="B125" s="9" t="s">
        <v>37</v>
      </c>
      <c r="C125" s="9" t="s">
        <v>221</v>
      </c>
      <c r="D125" s="9">
        <v>8.5000000000000006E-2</v>
      </c>
    </row>
    <row r="126" spans="2:4" ht="14" x14ac:dyDescent="0.15">
      <c r="B126" s="9" t="s">
        <v>51</v>
      </c>
      <c r="C126" s="9" t="s">
        <v>222</v>
      </c>
      <c r="D126" s="9">
        <v>0.1052</v>
      </c>
    </row>
    <row r="127" spans="2:4" ht="14" x14ac:dyDescent="0.15">
      <c r="B127" s="9" t="s">
        <v>64</v>
      </c>
      <c r="C127" s="9" t="s">
        <v>223</v>
      </c>
      <c r="D127" s="9">
        <v>0.1038</v>
      </c>
    </row>
    <row r="128" spans="2:4" ht="14" x14ac:dyDescent="0.15">
      <c r="B128" s="9" t="s">
        <v>77</v>
      </c>
      <c r="C128" s="9" t="s">
        <v>224</v>
      </c>
      <c r="D128" s="9">
        <v>0.105</v>
      </c>
    </row>
    <row r="129" spans="2:4" ht="14" x14ac:dyDescent="0.15">
      <c r="B129" s="9" t="s">
        <v>90</v>
      </c>
      <c r="C129" s="9" t="s">
        <v>225</v>
      </c>
      <c r="D129" s="9">
        <v>9.3100000000000002E-2</v>
      </c>
    </row>
    <row r="130" spans="2:4" ht="14" x14ac:dyDescent="0.15">
      <c r="B130" s="9" t="s">
        <v>103</v>
      </c>
      <c r="C130" s="9" t="s">
        <v>226</v>
      </c>
      <c r="D130" s="9">
        <v>0.1036</v>
      </c>
    </row>
    <row r="131" spans="2:4" ht="14" x14ac:dyDescent="0.15">
      <c r="B131" s="9" t="s">
        <v>116</v>
      </c>
      <c r="C131" s="9" t="s">
        <v>227</v>
      </c>
      <c r="D131" s="9">
        <v>8.8200000000000001E-2</v>
      </c>
    </row>
    <row r="132" spans="2:4" ht="14" x14ac:dyDescent="0.15">
      <c r="B132" s="9" t="s">
        <v>129</v>
      </c>
      <c r="C132" s="9" t="s">
        <v>228</v>
      </c>
      <c r="D132" s="9">
        <v>8.7400000000000005E-2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2E66-AD6F-EF43-B235-6450087832D8}">
  <dimension ref="A1:G138"/>
  <sheetViews>
    <sheetView tabSelected="1" workbookViewId="0">
      <selection activeCell="J9" sqref="J9"/>
    </sheetView>
  </sheetViews>
  <sheetFormatPr baseColWidth="10" defaultRowHeight="13" x14ac:dyDescent="0.15"/>
  <sheetData>
    <row r="1" spans="1:7" ht="14" x14ac:dyDescent="0.15">
      <c r="A1" s="6" t="s">
        <v>38</v>
      </c>
      <c r="B1" s="6" t="s">
        <v>132</v>
      </c>
      <c r="C1" s="6">
        <v>600</v>
      </c>
      <c r="D1" t="s">
        <v>229</v>
      </c>
      <c r="E1" t="s">
        <v>230</v>
      </c>
      <c r="F1" s="10" t="s">
        <v>231</v>
      </c>
      <c r="G1" s="10" t="s">
        <v>232</v>
      </c>
    </row>
    <row r="2" spans="1:7" ht="14" x14ac:dyDescent="0.15">
      <c r="A2" s="9" t="s">
        <v>26</v>
      </c>
      <c r="B2" s="9" t="s">
        <v>133</v>
      </c>
      <c r="C2" s="9">
        <v>9.0499999999999997E-2</v>
      </c>
      <c r="D2">
        <f>C2*30</f>
        <v>2.7149999999999999</v>
      </c>
      <c r="E2">
        <f>D2-0.083</f>
        <v>2.6319999999999997</v>
      </c>
      <c r="F2" s="11">
        <f>(1*1)/E2</f>
        <v>0.37993920972644379</v>
      </c>
      <c r="G2" s="12">
        <f>1-F2</f>
        <v>0.62006079027355621</v>
      </c>
    </row>
    <row r="3" spans="1:7" ht="14" x14ac:dyDescent="0.15">
      <c r="A3" s="9" t="s">
        <v>40</v>
      </c>
      <c r="B3" s="9" t="s">
        <v>134</v>
      </c>
      <c r="C3" s="9">
        <v>9.8000000000000004E-2</v>
      </c>
      <c r="D3">
        <f t="shared" ref="D3:D66" si="0">C3*30</f>
        <v>2.94</v>
      </c>
      <c r="E3">
        <f t="shared" ref="E3:E66" si="1">D3-0.083</f>
        <v>2.8569999999999998</v>
      </c>
      <c r="F3" s="11">
        <f t="shared" ref="F3:F66" si="2">(1*1)/E3</f>
        <v>0.3500175008750438</v>
      </c>
      <c r="G3" s="12">
        <f t="shared" ref="G3:G66" si="3">1-F3</f>
        <v>0.6499824991249562</v>
      </c>
    </row>
    <row r="4" spans="1:7" ht="14" x14ac:dyDescent="0.15">
      <c r="A4" s="9" t="s">
        <v>53</v>
      </c>
      <c r="B4" s="9" t="s">
        <v>135</v>
      </c>
      <c r="C4" s="9">
        <v>0.1007</v>
      </c>
      <c r="D4">
        <f t="shared" si="0"/>
        <v>3.0209999999999999</v>
      </c>
      <c r="E4">
        <f t="shared" si="1"/>
        <v>2.9379999999999997</v>
      </c>
      <c r="F4" s="11">
        <f t="shared" si="2"/>
        <v>0.34036759700476515</v>
      </c>
      <c r="G4" s="12">
        <f t="shared" si="3"/>
        <v>0.65963240299523485</v>
      </c>
    </row>
    <row r="5" spans="1:7" ht="14" x14ac:dyDescent="0.15">
      <c r="A5" s="9" t="s">
        <v>66</v>
      </c>
      <c r="B5" s="9" t="s">
        <v>136</v>
      </c>
      <c r="C5" s="9">
        <v>9.5200000000000007E-2</v>
      </c>
      <c r="D5">
        <f t="shared" si="0"/>
        <v>2.8560000000000003</v>
      </c>
      <c r="E5">
        <f t="shared" si="1"/>
        <v>2.7730000000000001</v>
      </c>
      <c r="F5" s="11">
        <f t="shared" si="2"/>
        <v>0.36062026685899745</v>
      </c>
      <c r="G5" s="12">
        <f t="shared" si="3"/>
        <v>0.63937973314100249</v>
      </c>
    </row>
    <row r="6" spans="1:7" ht="14" x14ac:dyDescent="0.15">
      <c r="A6" s="9" t="s">
        <v>79</v>
      </c>
      <c r="B6" s="9" t="s">
        <v>137</v>
      </c>
      <c r="C6" s="9">
        <v>9.5699999999999993E-2</v>
      </c>
      <c r="D6">
        <f t="shared" si="0"/>
        <v>2.871</v>
      </c>
      <c r="E6">
        <f t="shared" si="1"/>
        <v>2.7879999999999998</v>
      </c>
      <c r="F6" s="11">
        <f t="shared" si="2"/>
        <v>0.3586800573888092</v>
      </c>
      <c r="G6" s="12">
        <f t="shared" si="3"/>
        <v>0.64131994261119085</v>
      </c>
    </row>
    <row r="7" spans="1:7" ht="14" x14ac:dyDescent="0.15">
      <c r="A7" s="9" t="s">
        <v>92</v>
      </c>
      <c r="B7" s="9" t="s">
        <v>138</v>
      </c>
      <c r="C7" s="9">
        <v>8.8900000000000007E-2</v>
      </c>
      <c r="D7">
        <f t="shared" si="0"/>
        <v>2.6670000000000003</v>
      </c>
      <c r="E7">
        <f t="shared" si="1"/>
        <v>2.5840000000000001</v>
      </c>
      <c r="F7" s="11">
        <f t="shared" si="2"/>
        <v>0.38699690402476777</v>
      </c>
      <c r="G7" s="12">
        <f t="shared" si="3"/>
        <v>0.61300309597523217</v>
      </c>
    </row>
    <row r="8" spans="1:7" ht="14" x14ac:dyDescent="0.15">
      <c r="A8" s="9" t="s">
        <v>105</v>
      </c>
      <c r="B8" s="9" t="s">
        <v>139</v>
      </c>
      <c r="C8" s="9">
        <v>9.4399999999999998E-2</v>
      </c>
      <c r="D8">
        <f t="shared" si="0"/>
        <v>2.8319999999999999</v>
      </c>
      <c r="E8">
        <f t="shared" si="1"/>
        <v>2.7489999999999997</v>
      </c>
      <c r="F8" s="11">
        <f t="shared" si="2"/>
        <v>0.36376864314296115</v>
      </c>
      <c r="G8" s="12">
        <f t="shared" si="3"/>
        <v>0.6362313568570388</v>
      </c>
    </row>
    <row r="9" spans="1:7" ht="14" x14ac:dyDescent="0.15">
      <c r="A9" s="9" t="s">
        <v>118</v>
      </c>
      <c r="B9" s="9" t="s">
        <v>140</v>
      </c>
      <c r="C9" s="9">
        <v>9.8000000000000004E-2</v>
      </c>
      <c r="D9">
        <f t="shared" si="0"/>
        <v>2.94</v>
      </c>
      <c r="E9">
        <f t="shared" si="1"/>
        <v>2.8569999999999998</v>
      </c>
      <c r="F9" s="11">
        <f t="shared" si="2"/>
        <v>0.3500175008750438</v>
      </c>
      <c r="G9" s="12">
        <f t="shared" si="3"/>
        <v>0.6499824991249562</v>
      </c>
    </row>
    <row r="10" spans="1:7" ht="14" x14ac:dyDescent="0.15">
      <c r="A10" s="9" t="s">
        <v>27</v>
      </c>
      <c r="B10" s="9" t="s">
        <v>141</v>
      </c>
      <c r="C10" s="9">
        <v>8.5900000000000004E-2</v>
      </c>
      <c r="D10">
        <f t="shared" si="0"/>
        <v>2.577</v>
      </c>
      <c r="E10">
        <f t="shared" si="1"/>
        <v>2.4939999999999998</v>
      </c>
      <c r="F10" s="11">
        <f t="shared" si="2"/>
        <v>0.40096230954290302</v>
      </c>
      <c r="G10" s="12">
        <f t="shared" si="3"/>
        <v>0.59903769045709698</v>
      </c>
    </row>
    <row r="11" spans="1:7" ht="14" x14ac:dyDescent="0.15">
      <c r="A11" s="9" t="s">
        <v>41</v>
      </c>
      <c r="B11" s="9" t="s">
        <v>142</v>
      </c>
      <c r="C11" s="9">
        <v>9.4200000000000006E-2</v>
      </c>
      <c r="D11">
        <f t="shared" si="0"/>
        <v>2.8260000000000001</v>
      </c>
      <c r="E11">
        <f t="shared" si="1"/>
        <v>2.7429999999999999</v>
      </c>
      <c r="F11" s="11">
        <f t="shared" si="2"/>
        <v>0.36456434560699963</v>
      </c>
      <c r="G11" s="12">
        <f t="shared" si="3"/>
        <v>0.63543565439300043</v>
      </c>
    </row>
    <row r="12" spans="1:7" ht="14" x14ac:dyDescent="0.15">
      <c r="A12" s="9" t="s">
        <v>54</v>
      </c>
      <c r="B12" s="9" t="s">
        <v>143</v>
      </c>
      <c r="C12" s="9">
        <v>0.10440000000000001</v>
      </c>
      <c r="D12">
        <f t="shared" si="0"/>
        <v>3.1320000000000001</v>
      </c>
      <c r="E12">
        <f t="shared" si="1"/>
        <v>3.0489999999999999</v>
      </c>
      <c r="F12" s="11">
        <f t="shared" si="2"/>
        <v>0.32797638570022958</v>
      </c>
      <c r="G12" s="12">
        <f t="shared" si="3"/>
        <v>0.67202361429977042</v>
      </c>
    </row>
    <row r="13" spans="1:7" ht="14" x14ac:dyDescent="0.15">
      <c r="A13" s="9" t="s">
        <v>67</v>
      </c>
      <c r="B13" s="9" t="s">
        <v>144</v>
      </c>
      <c r="C13" s="9">
        <v>8.8099999999999998E-2</v>
      </c>
      <c r="D13">
        <f t="shared" si="0"/>
        <v>2.6429999999999998</v>
      </c>
      <c r="E13">
        <f t="shared" si="1"/>
        <v>2.5599999999999996</v>
      </c>
      <c r="F13" s="11">
        <f t="shared" si="2"/>
        <v>0.39062500000000006</v>
      </c>
      <c r="G13" s="12">
        <f t="shared" si="3"/>
        <v>0.609375</v>
      </c>
    </row>
    <row r="14" spans="1:7" ht="14" x14ac:dyDescent="0.15">
      <c r="A14" s="9" t="s">
        <v>80</v>
      </c>
      <c r="B14" s="9" t="s">
        <v>145</v>
      </c>
      <c r="C14" s="9">
        <v>8.7599999999999997E-2</v>
      </c>
      <c r="D14">
        <f t="shared" si="0"/>
        <v>2.6280000000000001</v>
      </c>
      <c r="E14">
        <f t="shared" si="1"/>
        <v>2.5449999999999999</v>
      </c>
      <c r="F14" s="11">
        <f t="shared" si="2"/>
        <v>0.39292730844793716</v>
      </c>
      <c r="G14" s="12">
        <f t="shared" si="3"/>
        <v>0.60707269155206278</v>
      </c>
    </row>
    <row r="15" spans="1:7" ht="14" x14ac:dyDescent="0.15">
      <c r="A15" s="9" t="s">
        <v>93</v>
      </c>
      <c r="B15" s="9" t="s">
        <v>146</v>
      </c>
      <c r="C15" s="9">
        <v>9.4100000000000003E-2</v>
      </c>
      <c r="D15">
        <f t="shared" si="0"/>
        <v>2.823</v>
      </c>
      <c r="E15">
        <f t="shared" si="1"/>
        <v>2.7399999999999998</v>
      </c>
      <c r="F15" s="11">
        <f t="shared" si="2"/>
        <v>0.36496350364963509</v>
      </c>
      <c r="G15" s="12">
        <f t="shared" si="3"/>
        <v>0.63503649635036497</v>
      </c>
    </row>
    <row r="16" spans="1:7" ht="14" x14ac:dyDescent="0.15">
      <c r="A16" s="9" t="s">
        <v>106</v>
      </c>
      <c r="B16" s="9" t="s">
        <v>147</v>
      </c>
      <c r="C16" s="9">
        <v>9.6799999999999997E-2</v>
      </c>
      <c r="D16">
        <f t="shared" si="0"/>
        <v>2.9039999999999999</v>
      </c>
      <c r="E16">
        <f t="shared" si="1"/>
        <v>2.8209999999999997</v>
      </c>
      <c r="F16" s="11">
        <f t="shared" si="2"/>
        <v>0.35448422545196739</v>
      </c>
      <c r="G16" s="12">
        <f t="shared" si="3"/>
        <v>0.64551577454803266</v>
      </c>
    </row>
    <row r="17" spans="1:7" ht="14" x14ac:dyDescent="0.15">
      <c r="A17" s="9" t="s">
        <v>119</v>
      </c>
      <c r="B17" s="9" t="s">
        <v>148</v>
      </c>
      <c r="C17" s="9">
        <v>8.6599999999999996E-2</v>
      </c>
      <c r="D17">
        <f t="shared" si="0"/>
        <v>2.5979999999999999</v>
      </c>
      <c r="E17">
        <f t="shared" si="1"/>
        <v>2.5149999999999997</v>
      </c>
      <c r="F17" s="11">
        <f t="shared" si="2"/>
        <v>0.39761431411530818</v>
      </c>
      <c r="G17" s="12">
        <f t="shared" si="3"/>
        <v>0.60238568588469188</v>
      </c>
    </row>
    <row r="18" spans="1:7" ht="14" x14ac:dyDescent="0.15">
      <c r="A18" s="9" t="s">
        <v>28</v>
      </c>
      <c r="B18" s="9" t="s">
        <v>149</v>
      </c>
      <c r="C18" s="9">
        <v>9.2499999999999999E-2</v>
      </c>
      <c r="D18">
        <f t="shared" si="0"/>
        <v>2.7749999999999999</v>
      </c>
      <c r="E18">
        <f t="shared" si="1"/>
        <v>2.6919999999999997</v>
      </c>
      <c r="F18" s="11">
        <f t="shared" si="2"/>
        <v>0.37147102526002973</v>
      </c>
      <c r="G18" s="12">
        <f t="shared" si="3"/>
        <v>0.62852897473997027</v>
      </c>
    </row>
    <row r="19" spans="1:7" ht="14" x14ac:dyDescent="0.15">
      <c r="A19" s="9" t="s">
        <v>42</v>
      </c>
      <c r="B19" s="9" t="s">
        <v>150</v>
      </c>
      <c r="C19" s="9">
        <v>0.10199999999999999</v>
      </c>
      <c r="D19">
        <f t="shared" si="0"/>
        <v>3.0599999999999996</v>
      </c>
      <c r="E19">
        <f t="shared" si="1"/>
        <v>2.9769999999999994</v>
      </c>
      <c r="F19" s="11">
        <f t="shared" si="2"/>
        <v>0.33590863285186434</v>
      </c>
      <c r="G19" s="12">
        <f t="shared" si="3"/>
        <v>0.66409136714813566</v>
      </c>
    </row>
    <row r="20" spans="1:7" ht="14" x14ac:dyDescent="0.15">
      <c r="A20" s="9" t="s">
        <v>55</v>
      </c>
      <c r="B20" s="9" t="s">
        <v>151</v>
      </c>
      <c r="C20" s="9">
        <v>0.10050000000000001</v>
      </c>
      <c r="D20">
        <f t="shared" si="0"/>
        <v>3.0150000000000001</v>
      </c>
      <c r="E20">
        <f t="shared" si="1"/>
        <v>2.9319999999999999</v>
      </c>
      <c r="F20" s="11">
        <f t="shared" si="2"/>
        <v>0.34106412005457026</v>
      </c>
      <c r="G20" s="12">
        <f t="shared" si="3"/>
        <v>0.65893587994542968</v>
      </c>
    </row>
    <row r="21" spans="1:7" ht="14" x14ac:dyDescent="0.15">
      <c r="A21" s="9" t="s">
        <v>68</v>
      </c>
      <c r="B21" s="9" t="s">
        <v>152</v>
      </c>
      <c r="C21" s="9">
        <v>9.1499999999999998E-2</v>
      </c>
      <c r="D21">
        <f t="shared" si="0"/>
        <v>2.7450000000000001</v>
      </c>
      <c r="E21">
        <f t="shared" si="1"/>
        <v>2.6619999999999999</v>
      </c>
      <c r="F21" s="11">
        <f t="shared" si="2"/>
        <v>0.37565740045078888</v>
      </c>
      <c r="G21" s="12">
        <f t="shared" si="3"/>
        <v>0.62434259954921112</v>
      </c>
    </row>
    <row r="22" spans="1:7" ht="14" x14ac:dyDescent="0.15">
      <c r="A22" s="9" t="s">
        <v>81</v>
      </c>
      <c r="B22" s="9" t="s">
        <v>153</v>
      </c>
      <c r="C22" s="9">
        <v>9.2399999999999996E-2</v>
      </c>
      <c r="D22">
        <f t="shared" si="0"/>
        <v>2.7719999999999998</v>
      </c>
      <c r="E22">
        <f t="shared" si="1"/>
        <v>2.6889999999999996</v>
      </c>
      <c r="F22" s="11">
        <f t="shared" si="2"/>
        <v>0.37188545927854227</v>
      </c>
      <c r="G22" s="12">
        <f t="shared" si="3"/>
        <v>0.62811454072145767</v>
      </c>
    </row>
    <row r="23" spans="1:7" ht="14" x14ac:dyDescent="0.15">
      <c r="A23" s="9" t="s">
        <v>94</v>
      </c>
      <c r="B23" s="9" t="s">
        <v>154</v>
      </c>
      <c r="C23" s="9">
        <v>9.0999999999999998E-2</v>
      </c>
      <c r="D23">
        <f t="shared" si="0"/>
        <v>2.73</v>
      </c>
      <c r="E23">
        <f t="shared" si="1"/>
        <v>2.6469999999999998</v>
      </c>
      <c r="F23" s="11">
        <f t="shared" si="2"/>
        <v>0.37778617302606726</v>
      </c>
      <c r="G23" s="12">
        <f t="shared" si="3"/>
        <v>0.62221382697393279</v>
      </c>
    </row>
    <row r="24" spans="1:7" ht="14" x14ac:dyDescent="0.15">
      <c r="A24" s="9" t="s">
        <v>107</v>
      </c>
      <c r="B24" s="9" t="s">
        <v>155</v>
      </c>
      <c r="C24" s="9">
        <v>0.10390000000000001</v>
      </c>
      <c r="D24">
        <f t="shared" si="0"/>
        <v>3.117</v>
      </c>
      <c r="E24">
        <f t="shared" si="1"/>
        <v>3.0339999999999998</v>
      </c>
      <c r="F24" s="11">
        <f t="shared" si="2"/>
        <v>0.32959789057350036</v>
      </c>
      <c r="G24" s="12">
        <f t="shared" si="3"/>
        <v>0.67040210942649958</v>
      </c>
    </row>
    <row r="25" spans="1:7" ht="14" x14ac:dyDescent="0.15">
      <c r="A25" s="9" t="s">
        <v>120</v>
      </c>
      <c r="B25" s="9" t="s">
        <v>156</v>
      </c>
      <c r="C25" s="9">
        <v>8.8999999999999996E-2</v>
      </c>
      <c r="D25">
        <f t="shared" si="0"/>
        <v>2.67</v>
      </c>
      <c r="E25">
        <f t="shared" si="1"/>
        <v>2.5869999999999997</v>
      </c>
      <c r="F25" s="11">
        <f t="shared" si="2"/>
        <v>0.3865481252415926</v>
      </c>
      <c r="G25" s="12">
        <f t="shared" si="3"/>
        <v>0.61345187475840746</v>
      </c>
    </row>
    <row r="26" spans="1:7" ht="14" x14ac:dyDescent="0.15">
      <c r="A26" s="9" t="s">
        <v>29</v>
      </c>
      <c r="B26" s="9" t="s">
        <v>157</v>
      </c>
      <c r="C26" s="9">
        <v>0.1026</v>
      </c>
      <c r="D26">
        <f t="shared" si="0"/>
        <v>3.0779999999999998</v>
      </c>
      <c r="E26">
        <f t="shared" si="1"/>
        <v>2.9949999999999997</v>
      </c>
      <c r="F26" s="11">
        <f t="shared" si="2"/>
        <v>0.33388981636060105</v>
      </c>
      <c r="G26" s="12">
        <f t="shared" si="3"/>
        <v>0.666110183639399</v>
      </c>
    </row>
    <row r="27" spans="1:7" ht="14" x14ac:dyDescent="0.15">
      <c r="A27" s="9" t="s">
        <v>43</v>
      </c>
      <c r="B27" s="9" t="s">
        <v>158</v>
      </c>
      <c r="C27" s="9">
        <v>9.1600000000000001E-2</v>
      </c>
      <c r="D27">
        <f t="shared" si="0"/>
        <v>2.7480000000000002</v>
      </c>
      <c r="E27">
        <f t="shared" si="1"/>
        <v>2.665</v>
      </c>
      <c r="F27" s="11">
        <f t="shared" si="2"/>
        <v>0.37523452157598497</v>
      </c>
      <c r="G27" s="12">
        <f t="shared" si="3"/>
        <v>0.62476547842401509</v>
      </c>
    </row>
    <row r="28" spans="1:7" ht="14" x14ac:dyDescent="0.15">
      <c r="A28" s="9" t="s">
        <v>56</v>
      </c>
      <c r="B28" s="9" t="s">
        <v>159</v>
      </c>
      <c r="C28" s="9">
        <v>0.10150000000000001</v>
      </c>
      <c r="D28">
        <f t="shared" si="0"/>
        <v>3.0450000000000004</v>
      </c>
      <c r="E28">
        <f t="shared" si="1"/>
        <v>2.9620000000000002</v>
      </c>
      <c r="F28" s="11">
        <f t="shared" si="2"/>
        <v>0.33760972316002696</v>
      </c>
      <c r="G28" s="12">
        <f t="shared" si="3"/>
        <v>0.66239027683997298</v>
      </c>
    </row>
    <row r="29" spans="1:7" ht="14" x14ac:dyDescent="0.15">
      <c r="A29" s="9" t="s">
        <v>69</v>
      </c>
      <c r="B29" s="9" t="s">
        <v>160</v>
      </c>
      <c r="C29" s="9">
        <v>0.1404</v>
      </c>
      <c r="D29">
        <f t="shared" si="0"/>
        <v>4.2119999999999997</v>
      </c>
      <c r="E29">
        <f t="shared" si="1"/>
        <v>4.1289999999999996</v>
      </c>
      <c r="F29" s="11">
        <f t="shared" si="2"/>
        <v>0.24218939210462584</v>
      </c>
      <c r="G29" s="12">
        <f t="shared" si="3"/>
        <v>0.75781060789537413</v>
      </c>
    </row>
    <row r="30" spans="1:7" ht="14" x14ac:dyDescent="0.15">
      <c r="A30" s="9" t="s">
        <v>82</v>
      </c>
      <c r="B30" s="9" t="s">
        <v>161</v>
      </c>
      <c r="C30" s="9">
        <v>9.8500000000000004E-2</v>
      </c>
      <c r="D30">
        <f t="shared" si="0"/>
        <v>2.9550000000000001</v>
      </c>
      <c r="E30">
        <f t="shared" si="1"/>
        <v>2.8719999999999999</v>
      </c>
      <c r="F30" s="11">
        <f t="shared" si="2"/>
        <v>0.34818941504178275</v>
      </c>
      <c r="G30" s="12">
        <f t="shared" si="3"/>
        <v>0.6518105849582172</v>
      </c>
    </row>
    <row r="31" spans="1:7" ht="14" x14ac:dyDescent="0.15">
      <c r="A31" s="9" t="s">
        <v>95</v>
      </c>
      <c r="B31" s="9" t="s">
        <v>162</v>
      </c>
      <c r="C31" s="9">
        <v>0.1368</v>
      </c>
      <c r="D31">
        <f t="shared" si="0"/>
        <v>4.1040000000000001</v>
      </c>
      <c r="E31">
        <f t="shared" si="1"/>
        <v>4.0209999999999999</v>
      </c>
      <c r="F31" s="11">
        <f t="shared" si="2"/>
        <v>0.24869435463814971</v>
      </c>
      <c r="G31" s="12">
        <f t="shared" si="3"/>
        <v>0.75130564536185029</v>
      </c>
    </row>
    <row r="32" spans="1:7" ht="14" x14ac:dyDescent="0.15">
      <c r="A32" s="9" t="s">
        <v>108</v>
      </c>
      <c r="B32" s="9" t="s">
        <v>163</v>
      </c>
      <c r="C32" s="9">
        <v>8.7499999999999994E-2</v>
      </c>
      <c r="D32">
        <f t="shared" si="0"/>
        <v>2.625</v>
      </c>
      <c r="E32">
        <f t="shared" si="1"/>
        <v>2.5419999999999998</v>
      </c>
      <c r="F32" s="11">
        <f t="shared" si="2"/>
        <v>0.39339103068450043</v>
      </c>
      <c r="G32" s="12">
        <f t="shared" si="3"/>
        <v>0.60660896931549957</v>
      </c>
    </row>
    <row r="33" spans="1:7" ht="14" x14ac:dyDescent="0.15">
      <c r="A33" s="9" t="s">
        <v>121</v>
      </c>
      <c r="B33" s="9" t="s">
        <v>164</v>
      </c>
      <c r="C33" s="9">
        <v>9.4200000000000006E-2</v>
      </c>
      <c r="D33">
        <f t="shared" si="0"/>
        <v>2.8260000000000001</v>
      </c>
      <c r="E33">
        <f t="shared" si="1"/>
        <v>2.7429999999999999</v>
      </c>
      <c r="F33" s="11">
        <f t="shared" si="2"/>
        <v>0.36456434560699963</v>
      </c>
      <c r="G33" s="12">
        <f t="shared" si="3"/>
        <v>0.63543565439300043</v>
      </c>
    </row>
    <row r="34" spans="1:7" ht="14" x14ac:dyDescent="0.15">
      <c r="A34" s="9" t="s">
        <v>30</v>
      </c>
      <c r="B34" s="9" t="s">
        <v>165</v>
      </c>
      <c r="C34" s="9">
        <v>9.9099999999999994E-2</v>
      </c>
      <c r="D34">
        <f t="shared" si="0"/>
        <v>2.9729999999999999</v>
      </c>
      <c r="E34">
        <f t="shared" si="1"/>
        <v>2.8899999999999997</v>
      </c>
      <c r="F34" s="11">
        <f t="shared" si="2"/>
        <v>0.34602076124567477</v>
      </c>
      <c r="G34" s="12">
        <f t="shared" si="3"/>
        <v>0.65397923875432529</v>
      </c>
    </row>
    <row r="35" spans="1:7" ht="14" x14ac:dyDescent="0.15">
      <c r="A35" s="9" t="s">
        <v>44</v>
      </c>
      <c r="B35" s="9" t="s">
        <v>166</v>
      </c>
      <c r="C35" s="9">
        <v>9.0999999999999998E-2</v>
      </c>
      <c r="D35">
        <f t="shared" si="0"/>
        <v>2.73</v>
      </c>
      <c r="E35">
        <f t="shared" si="1"/>
        <v>2.6469999999999998</v>
      </c>
      <c r="F35" s="11">
        <f t="shared" si="2"/>
        <v>0.37778617302606726</v>
      </c>
      <c r="G35" s="12">
        <f t="shared" si="3"/>
        <v>0.62221382697393279</v>
      </c>
    </row>
    <row r="36" spans="1:7" ht="14" x14ac:dyDescent="0.15">
      <c r="A36" s="9" t="s">
        <v>57</v>
      </c>
      <c r="B36" s="9" t="s">
        <v>167</v>
      </c>
      <c r="C36" s="9">
        <v>9.4100000000000003E-2</v>
      </c>
      <c r="D36">
        <f t="shared" si="0"/>
        <v>2.823</v>
      </c>
      <c r="E36">
        <f t="shared" si="1"/>
        <v>2.7399999999999998</v>
      </c>
      <c r="F36" s="11">
        <f t="shared" si="2"/>
        <v>0.36496350364963509</v>
      </c>
      <c r="G36" s="12">
        <f t="shared" si="3"/>
        <v>0.63503649635036497</v>
      </c>
    </row>
    <row r="37" spans="1:7" ht="14" x14ac:dyDescent="0.15">
      <c r="A37" s="9" t="s">
        <v>70</v>
      </c>
      <c r="B37" s="9" t="s">
        <v>168</v>
      </c>
      <c r="C37" s="9">
        <v>9.6100000000000005E-2</v>
      </c>
      <c r="D37">
        <f t="shared" si="0"/>
        <v>2.883</v>
      </c>
      <c r="E37">
        <f t="shared" si="1"/>
        <v>2.8</v>
      </c>
      <c r="F37" s="11">
        <f t="shared" si="2"/>
        <v>0.35714285714285715</v>
      </c>
      <c r="G37" s="12">
        <f t="shared" si="3"/>
        <v>0.64285714285714279</v>
      </c>
    </row>
    <row r="38" spans="1:7" ht="14" x14ac:dyDescent="0.15">
      <c r="A38" s="9" t="s">
        <v>83</v>
      </c>
      <c r="B38" s="9" t="s">
        <v>169</v>
      </c>
      <c r="C38" s="9">
        <v>9.7500000000000003E-2</v>
      </c>
      <c r="D38">
        <f t="shared" si="0"/>
        <v>2.9250000000000003</v>
      </c>
      <c r="E38">
        <f t="shared" si="1"/>
        <v>2.8420000000000001</v>
      </c>
      <c r="F38" s="11">
        <f t="shared" si="2"/>
        <v>0.35186488388458831</v>
      </c>
      <c r="G38" s="12">
        <f t="shared" si="3"/>
        <v>0.64813511611541164</v>
      </c>
    </row>
    <row r="39" spans="1:7" ht="14" x14ac:dyDescent="0.15">
      <c r="A39" s="9" t="s">
        <v>96</v>
      </c>
      <c r="B39" s="9" t="s">
        <v>170</v>
      </c>
      <c r="C39" s="9">
        <v>9.4200000000000006E-2</v>
      </c>
      <c r="D39">
        <f t="shared" si="0"/>
        <v>2.8260000000000001</v>
      </c>
      <c r="E39">
        <f t="shared" si="1"/>
        <v>2.7429999999999999</v>
      </c>
      <c r="F39" s="11">
        <f t="shared" si="2"/>
        <v>0.36456434560699963</v>
      </c>
      <c r="G39" s="12">
        <f t="shared" si="3"/>
        <v>0.63543565439300043</v>
      </c>
    </row>
    <row r="40" spans="1:7" ht="14" x14ac:dyDescent="0.15">
      <c r="A40" s="9" t="s">
        <v>109</v>
      </c>
      <c r="B40" s="9" t="s">
        <v>171</v>
      </c>
      <c r="C40" s="9">
        <v>8.9499999999999996E-2</v>
      </c>
      <c r="D40">
        <f t="shared" si="0"/>
        <v>2.6850000000000001</v>
      </c>
      <c r="E40">
        <f t="shared" si="1"/>
        <v>2.6019999999999999</v>
      </c>
      <c r="F40" s="11">
        <f t="shared" si="2"/>
        <v>0.38431975403535745</v>
      </c>
      <c r="G40" s="12">
        <f t="shared" si="3"/>
        <v>0.61568024596464255</v>
      </c>
    </row>
    <row r="41" spans="1:7" ht="14" x14ac:dyDescent="0.15">
      <c r="A41" s="9" t="s">
        <v>122</v>
      </c>
      <c r="B41" s="9" t="s">
        <v>172</v>
      </c>
      <c r="C41" s="9">
        <v>9.9199999999999997E-2</v>
      </c>
      <c r="D41">
        <f t="shared" si="0"/>
        <v>2.976</v>
      </c>
      <c r="E41">
        <f t="shared" si="1"/>
        <v>2.8929999999999998</v>
      </c>
      <c r="F41" s="11">
        <f t="shared" si="2"/>
        <v>0.34566194262011757</v>
      </c>
      <c r="G41" s="12">
        <f t="shared" si="3"/>
        <v>0.65433805737988249</v>
      </c>
    </row>
    <row r="42" spans="1:7" ht="14" x14ac:dyDescent="0.15">
      <c r="A42" s="9" t="s">
        <v>31</v>
      </c>
      <c r="B42" s="9" t="s">
        <v>173</v>
      </c>
      <c r="C42" s="9">
        <v>8.8800000000000004E-2</v>
      </c>
      <c r="D42">
        <f t="shared" si="0"/>
        <v>2.6640000000000001</v>
      </c>
      <c r="E42">
        <f t="shared" si="1"/>
        <v>2.581</v>
      </c>
      <c r="F42" s="11">
        <f t="shared" si="2"/>
        <v>0.38744672607516467</v>
      </c>
      <c r="G42" s="12">
        <f t="shared" si="3"/>
        <v>0.61255327392483538</v>
      </c>
    </row>
    <row r="43" spans="1:7" ht="14" x14ac:dyDescent="0.15">
      <c r="A43" s="9" t="s">
        <v>45</v>
      </c>
      <c r="B43" s="9" t="s">
        <v>174</v>
      </c>
      <c r="C43" s="9">
        <v>8.9899999999999994E-2</v>
      </c>
      <c r="D43">
        <f t="shared" si="0"/>
        <v>2.6969999999999996</v>
      </c>
      <c r="E43">
        <f t="shared" si="1"/>
        <v>2.6139999999999994</v>
      </c>
      <c r="F43" s="11">
        <f t="shared" si="2"/>
        <v>0.38255547054322886</v>
      </c>
      <c r="G43" s="12">
        <f t="shared" si="3"/>
        <v>0.6174445294567712</v>
      </c>
    </row>
    <row r="44" spans="1:7" ht="14" x14ac:dyDescent="0.15">
      <c r="A44" s="9" t="s">
        <v>58</v>
      </c>
      <c r="B44" s="9" t="s">
        <v>175</v>
      </c>
      <c r="C44" s="9">
        <v>9.4E-2</v>
      </c>
      <c r="D44">
        <f t="shared" si="0"/>
        <v>2.82</v>
      </c>
      <c r="E44">
        <f t="shared" si="1"/>
        <v>2.7369999999999997</v>
      </c>
      <c r="F44" s="11">
        <f t="shared" si="2"/>
        <v>0.36536353671903549</v>
      </c>
      <c r="G44" s="12">
        <f t="shared" si="3"/>
        <v>0.63463646328096446</v>
      </c>
    </row>
    <row r="45" spans="1:7" ht="14" x14ac:dyDescent="0.15">
      <c r="A45" s="9" t="s">
        <v>71</v>
      </c>
      <c r="B45" s="9" t="s">
        <v>176</v>
      </c>
      <c r="C45" s="9">
        <v>8.5400000000000004E-2</v>
      </c>
      <c r="D45">
        <f t="shared" si="0"/>
        <v>2.5620000000000003</v>
      </c>
      <c r="E45">
        <f t="shared" si="1"/>
        <v>2.4790000000000001</v>
      </c>
      <c r="F45" s="11">
        <f t="shared" si="2"/>
        <v>0.40338846308995563</v>
      </c>
      <c r="G45" s="12">
        <f t="shared" si="3"/>
        <v>0.59661153691004443</v>
      </c>
    </row>
    <row r="46" spans="1:7" ht="14" x14ac:dyDescent="0.15">
      <c r="A46" s="9" t="s">
        <v>84</v>
      </c>
      <c r="B46" s="9" t="s">
        <v>177</v>
      </c>
      <c r="C46" s="9">
        <v>0.1</v>
      </c>
      <c r="D46">
        <f t="shared" si="0"/>
        <v>3</v>
      </c>
      <c r="E46">
        <f t="shared" si="1"/>
        <v>2.9169999999999998</v>
      </c>
      <c r="F46" s="11">
        <f t="shared" si="2"/>
        <v>0.34281796366129585</v>
      </c>
      <c r="G46" s="12">
        <f t="shared" si="3"/>
        <v>0.6571820363387042</v>
      </c>
    </row>
    <row r="47" spans="1:7" ht="14" x14ac:dyDescent="0.15">
      <c r="A47" s="9" t="s">
        <v>97</v>
      </c>
      <c r="B47" s="9" t="s">
        <v>178</v>
      </c>
      <c r="C47" s="9">
        <v>9.5200000000000007E-2</v>
      </c>
      <c r="D47">
        <f t="shared" si="0"/>
        <v>2.8560000000000003</v>
      </c>
      <c r="E47">
        <f t="shared" si="1"/>
        <v>2.7730000000000001</v>
      </c>
      <c r="F47" s="11">
        <f t="shared" si="2"/>
        <v>0.36062026685899745</v>
      </c>
      <c r="G47" s="12">
        <f t="shared" si="3"/>
        <v>0.63937973314100249</v>
      </c>
    </row>
    <row r="48" spans="1:7" ht="14" x14ac:dyDescent="0.15">
      <c r="A48" s="9" t="s">
        <v>110</v>
      </c>
      <c r="B48" s="9" t="s">
        <v>179</v>
      </c>
      <c r="C48" s="9">
        <v>9.69E-2</v>
      </c>
      <c r="D48">
        <f t="shared" si="0"/>
        <v>2.907</v>
      </c>
      <c r="E48">
        <f t="shared" si="1"/>
        <v>2.8239999999999998</v>
      </c>
      <c r="F48" s="11">
        <f t="shared" si="2"/>
        <v>0.3541076487252125</v>
      </c>
      <c r="G48" s="12">
        <f t="shared" si="3"/>
        <v>0.6458923512747875</v>
      </c>
    </row>
    <row r="49" spans="1:7" ht="14" x14ac:dyDescent="0.15">
      <c r="A49" s="9" t="s">
        <v>123</v>
      </c>
      <c r="B49" s="9" t="s">
        <v>180</v>
      </c>
      <c r="C49" s="9">
        <v>9.98E-2</v>
      </c>
      <c r="D49">
        <f t="shared" si="0"/>
        <v>2.9939999999999998</v>
      </c>
      <c r="E49">
        <f t="shared" si="1"/>
        <v>2.9109999999999996</v>
      </c>
      <c r="F49" s="11">
        <f t="shared" si="2"/>
        <v>0.34352456200618348</v>
      </c>
      <c r="G49" s="12">
        <f t="shared" si="3"/>
        <v>0.65647543799381647</v>
      </c>
    </row>
    <row r="50" spans="1:7" ht="14" x14ac:dyDescent="0.15">
      <c r="A50" s="9" t="s">
        <v>32</v>
      </c>
      <c r="B50" s="9" t="s">
        <v>181</v>
      </c>
      <c r="C50" s="9">
        <v>8.7800000000000003E-2</v>
      </c>
      <c r="D50">
        <f t="shared" si="0"/>
        <v>2.6339999999999999</v>
      </c>
      <c r="E50">
        <f t="shared" si="1"/>
        <v>2.5509999999999997</v>
      </c>
      <c r="F50" s="11">
        <f t="shared" si="2"/>
        <v>0.39200313602508824</v>
      </c>
      <c r="G50" s="12">
        <f t="shared" si="3"/>
        <v>0.60799686397491182</v>
      </c>
    </row>
    <row r="51" spans="1:7" ht="14" x14ac:dyDescent="0.15">
      <c r="A51" s="9" t="s">
        <v>46</v>
      </c>
      <c r="B51" s="9" t="s">
        <v>182</v>
      </c>
      <c r="C51" s="9">
        <v>9.2200000000000004E-2</v>
      </c>
      <c r="D51">
        <f t="shared" si="0"/>
        <v>2.766</v>
      </c>
      <c r="E51">
        <f t="shared" si="1"/>
        <v>2.6829999999999998</v>
      </c>
      <c r="F51" s="11">
        <f t="shared" si="2"/>
        <v>0.37271710771524413</v>
      </c>
      <c r="G51" s="12">
        <f t="shared" si="3"/>
        <v>0.62728289228475587</v>
      </c>
    </row>
    <row r="52" spans="1:7" ht="14" x14ac:dyDescent="0.15">
      <c r="A52" s="9" t="s">
        <v>59</v>
      </c>
      <c r="B52" s="9" t="s">
        <v>183</v>
      </c>
      <c r="C52" s="9">
        <v>9.8199999999999996E-2</v>
      </c>
      <c r="D52">
        <f t="shared" si="0"/>
        <v>2.9459999999999997</v>
      </c>
      <c r="E52">
        <f t="shared" si="1"/>
        <v>2.8629999999999995</v>
      </c>
      <c r="F52" s="11">
        <f t="shared" si="2"/>
        <v>0.34928396786587501</v>
      </c>
      <c r="G52" s="12">
        <f t="shared" si="3"/>
        <v>0.65071603213412499</v>
      </c>
    </row>
    <row r="53" spans="1:7" ht="14" x14ac:dyDescent="0.15">
      <c r="A53" s="9" t="s">
        <v>72</v>
      </c>
      <c r="B53" s="9" t="s">
        <v>184</v>
      </c>
      <c r="C53" s="9">
        <v>8.8800000000000004E-2</v>
      </c>
      <c r="D53">
        <f t="shared" si="0"/>
        <v>2.6640000000000001</v>
      </c>
      <c r="E53">
        <f t="shared" si="1"/>
        <v>2.581</v>
      </c>
      <c r="F53" s="11">
        <f t="shared" si="2"/>
        <v>0.38744672607516467</v>
      </c>
      <c r="G53" s="12">
        <f t="shared" si="3"/>
        <v>0.61255327392483538</v>
      </c>
    </row>
    <row r="54" spans="1:7" ht="14" x14ac:dyDescent="0.15">
      <c r="A54" s="9" t="s">
        <v>85</v>
      </c>
      <c r="B54" s="9" t="s">
        <v>185</v>
      </c>
      <c r="C54" s="9">
        <v>9.1300000000000006E-2</v>
      </c>
      <c r="D54">
        <f t="shared" si="0"/>
        <v>2.7390000000000003</v>
      </c>
      <c r="E54">
        <f t="shared" si="1"/>
        <v>2.6560000000000001</v>
      </c>
      <c r="F54" s="11">
        <f t="shared" si="2"/>
        <v>0.37650602409638551</v>
      </c>
      <c r="G54" s="12">
        <f t="shared" si="3"/>
        <v>0.62349397590361444</v>
      </c>
    </row>
    <row r="55" spans="1:7" ht="14" x14ac:dyDescent="0.15">
      <c r="A55" s="9" t="s">
        <v>98</v>
      </c>
      <c r="B55" s="9" t="s">
        <v>186</v>
      </c>
      <c r="C55" s="9">
        <v>9.6600000000000005E-2</v>
      </c>
      <c r="D55">
        <f t="shared" si="0"/>
        <v>2.8980000000000001</v>
      </c>
      <c r="E55">
        <f t="shared" si="1"/>
        <v>2.8149999999999999</v>
      </c>
      <c r="F55" s="11">
        <f t="shared" si="2"/>
        <v>0.35523978685612789</v>
      </c>
      <c r="G55" s="12">
        <f t="shared" si="3"/>
        <v>0.64476021314387211</v>
      </c>
    </row>
    <row r="56" spans="1:7" ht="14" x14ac:dyDescent="0.15">
      <c r="A56" s="9" t="s">
        <v>111</v>
      </c>
      <c r="B56" s="9" t="s">
        <v>187</v>
      </c>
      <c r="C56" s="9">
        <v>0.10680000000000001</v>
      </c>
      <c r="D56">
        <f t="shared" si="0"/>
        <v>3.2040000000000002</v>
      </c>
      <c r="E56">
        <f t="shared" si="1"/>
        <v>3.121</v>
      </c>
      <c r="F56" s="11">
        <f t="shared" si="2"/>
        <v>0.32041012495994875</v>
      </c>
      <c r="G56" s="12">
        <f t="shared" si="3"/>
        <v>0.67958987504005131</v>
      </c>
    </row>
    <row r="57" spans="1:7" ht="14" x14ac:dyDescent="0.15">
      <c r="A57" s="9" t="s">
        <v>124</v>
      </c>
      <c r="B57" s="9" t="s">
        <v>188</v>
      </c>
      <c r="C57" s="9">
        <v>9.2399999999999996E-2</v>
      </c>
      <c r="D57">
        <f t="shared" si="0"/>
        <v>2.7719999999999998</v>
      </c>
      <c r="E57">
        <f t="shared" si="1"/>
        <v>2.6889999999999996</v>
      </c>
      <c r="F57" s="11">
        <f t="shared" si="2"/>
        <v>0.37188545927854227</v>
      </c>
      <c r="G57" s="12">
        <f t="shared" si="3"/>
        <v>0.62811454072145767</v>
      </c>
    </row>
    <row r="58" spans="1:7" ht="14" x14ac:dyDescent="0.15">
      <c r="A58" s="9" t="s">
        <v>33</v>
      </c>
      <c r="B58" s="9" t="s">
        <v>189</v>
      </c>
      <c r="C58" s="9">
        <v>8.6400000000000005E-2</v>
      </c>
      <c r="D58">
        <f t="shared" si="0"/>
        <v>2.5920000000000001</v>
      </c>
      <c r="E58">
        <f t="shared" si="1"/>
        <v>2.5089999999999999</v>
      </c>
      <c r="F58" s="11">
        <f t="shared" si="2"/>
        <v>0.39856516540454368</v>
      </c>
      <c r="G58" s="12">
        <f t="shared" si="3"/>
        <v>0.60143483459545632</v>
      </c>
    </row>
    <row r="59" spans="1:7" ht="14" x14ac:dyDescent="0.15">
      <c r="A59" s="9" t="s">
        <v>47</v>
      </c>
      <c r="B59" s="9" t="s">
        <v>190</v>
      </c>
      <c r="C59" s="9">
        <v>9.8100000000000007E-2</v>
      </c>
      <c r="D59">
        <f t="shared" si="0"/>
        <v>2.9430000000000001</v>
      </c>
      <c r="E59">
        <f t="shared" si="1"/>
        <v>2.86</v>
      </c>
      <c r="F59" s="11">
        <f t="shared" si="2"/>
        <v>0.34965034965034969</v>
      </c>
      <c r="G59" s="12">
        <f t="shared" si="3"/>
        <v>0.65034965034965031</v>
      </c>
    </row>
    <row r="60" spans="1:7" ht="14" x14ac:dyDescent="0.15">
      <c r="A60" s="9" t="s">
        <v>60</v>
      </c>
      <c r="B60" s="9" t="s">
        <v>191</v>
      </c>
      <c r="C60" s="9">
        <v>9.8599999999999993E-2</v>
      </c>
      <c r="D60">
        <f t="shared" si="0"/>
        <v>2.9579999999999997</v>
      </c>
      <c r="E60">
        <f t="shared" si="1"/>
        <v>2.8749999999999996</v>
      </c>
      <c r="F60" s="11">
        <f t="shared" si="2"/>
        <v>0.34782608695652178</v>
      </c>
      <c r="G60" s="12">
        <f t="shared" si="3"/>
        <v>0.65217391304347827</v>
      </c>
    </row>
    <row r="61" spans="1:7" ht="14" x14ac:dyDescent="0.15">
      <c r="A61" s="9" t="s">
        <v>73</v>
      </c>
      <c r="B61" s="9" t="s">
        <v>192</v>
      </c>
      <c r="C61" s="9">
        <v>0.1009</v>
      </c>
      <c r="D61">
        <f t="shared" si="0"/>
        <v>3.0270000000000001</v>
      </c>
      <c r="E61">
        <f t="shared" si="1"/>
        <v>2.944</v>
      </c>
      <c r="F61" s="11">
        <f t="shared" si="2"/>
        <v>0.33967391304347827</v>
      </c>
      <c r="G61" s="12">
        <f t="shared" si="3"/>
        <v>0.66032608695652173</v>
      </c>
    </row>
    <row r="62" spans="1:7" ht="14" x14ac:dyDescent="0.15">
      <c r="A62" s="9" t="s">
        <v>86</v>
      </c>
      <c r="B62" s="9" t="s">
        <v>193</v>
      </c>
      <c r="C62" s="9">
        <v>9.8900000000000002E-2</v>
      </c>
      <c r="D62">
        <f t="shared" si="0"/>
        <v>2.9670000000000001</v>
      </c>
      <c r="E62">
        <f t="shared" si="1"/>
        <v>2.8839999999999999</v>
      </c>
      <c r="F62" s="11">
        <f t="shared" si="2"/>
        <v>0.34674063800277394</v>
      </c>
      <c r="G62" s="12">
        <f t="shared" si="3"/>
        <v>0.65325936199722601</v>
      </c>
    </row>
    <row r="63" spans="1:7" ht="14" x14ac:dyDescent="0.15">
      <c r="A63" s="9" t="s">
        <v>99</v>
      </c>
      <c r="B63" s="9" t="s">
        <v>194</v>
      </c>
      <c r="C63" s="9">
        <v>8.7999999999999995E-2</v>
      </c>
      <c r="D63">
        <f t="shared" si="0"/>
        <v>2.6399999999999997</v>
      </c>
      <c r="E63">
        <f t="shared" si="1"/>
        <v>2.5569999999999995</v>
      </c>
      <c r="F63" s="11">
        <f t="shared" si="2"/>
        <v>0.39108330074305836</v>
      </c>
      <c r="G63" s="12">
        <f t="shared" si="3"/>
        <v>0.6089166992569417</v>
      </c>
    </row>
    <row r="64" spans="1:7" ht="14" x14ac:dyDescent="0.15">
      <c r="A64" s="9" t="s">
        <v>112</v>
      </c>
      <c r="B64" s="9" t="s">
        <v>195</v>
      </c>
      <c r="C64" s="9">
        <v>0.1028</v>
      </c>
      <c r="D64">
        <f t="shared" si="0"/>
        <v>3.0840000000000001</v>
      </c>
      <c r="E64">
        <f t="shared" si="1"/>
        <v>3.0009999999999999</v>
      </c>
      <c r="F64" s="11">
        <f t="shared" si="2"/>
        <v>0.33322225924691773</v>
      </c>
      <c r="G64" s="12">
        <f t="shared" si="3"/>
        <v>0.66677774075308227</v>
      </c>
    </row>
    <row r="65" spans="1:7" ht="14" x14ac:dyDescent="0.15">
      <c r="A65" s="9" t="s">
        <v>125</v>
      </c>
      <c r="B65" s="9" t="s">
        <v>196</v>
      </c>
      <c r="C65" s="9">
        <v>9.0499999999999997E-2</v>
      </c>
      <c r="D65">
        <f t="shared" si="0"/>
        <v>2.7149999999999999</v>
      </c>
      <c r="E65">
        <f t="shared" si="1"/>
        <v>2.6319999999999997</v>
      </c>
      <c r="F65" s="11">
        <f t="shared" si="2"/>
        <v>0.37993920972644379</v>
      </c>
      <c r="G65" s="12">
        <f t="shared" si="3"/>
        <v>0.62006079027355621</v>
      </c>
    </row>
    <row r="66" spans="1:7" ht="14" x14ac:dyDescent="0.15">
      <c r="A66" s="9" t="s">
        <v>34</v>
      </c>
      <c r="B66" s="9" t="s">
        <v>197</v>
      </c>
      <c r="C66" s="9">
        <v>9.4E-2</v>
      </c>
      <c r="D66">
        <f t="shared" si="0"/>
        <v>2.82</v>
      </c>
      <c r="E66">
        <f t="shared" si="1"/>
        <v>2.7369999999999997</v>
      </c>
      <c r="F66" s="11">
        <f t="shared" si="2"/>
        <v>0.36536353671903549</v>
      </c>
      <c r="G66" s="12">
        <f t="shared" si="3"/>
        <v>0.63463646328096446</v>
      </c>
    </row>
    <row r="67" spans="1:7" ht="14" x14ac:dyDescent="0.15">
      <c r="A67" s="9" t="s">
        <v>48</v>
      </c>
      <c r="B67" s="9" t="s">
        <v>198</v>
      </c>
      <c r="C67" s="9">
        <v>9.8900000000000002E-2</v>
      </c>
      <c r="D67">
        <f t="shared" ref="D67:D130" si="4">C67*30</f>
        <v>2.9670000000000001</v>
      </c>
      <c r="E67">
        <f t="shared" ref="E67:E130" si="5">D67-0.083</f>
        <v>2.8839999999999999</v>
      </c>
      <c r="F67" s="11">
        <f t="shared" ref="F67:F130" si="6">(1*1)/E67</f>
        <v>0.34674063800277394</v>
      </c>
      <c r="G67" s="12">
        <f t="shared" ref="G67:G130" si="7">1-F67</f>
        <v>0.65325936199722601</v>
      </c>
    </row>
    <row r="68" spans="1:7" ht="14" x14ac:dyDescent="0.15">
      <c r="A68" s="9" t="s">
        <v>61</v>
      </c>
      <c r="B68" s="9" t="s">
        <v>199</v>
      </c>
      <c r="C68" s="9">
        <v>9.2799999999999994E-2</v>
      </c>
      <c r="D68">
        <f t="shared" si="4"/>
        <v>2.7839999999999998</v>
      </c>
      <c r="E68">
        <f t="shared" si="5"/>
        <v>2.7009999999999996</v>
      </c>
      <c r="F68" s="11">
        <f t="shared" si="6"/>
        <v>0.37023324694557574</v>
      </c>
      <c r="G68" s="12">
        <f t="shared" si="7"/>
        <v>0.6297667530544242</v>
      </c>
    </row>
    <row r="69" spans="1:7" ht="14" x14ac:dyDescent="0.15">
      <c r="A69" s="9" t="s">
        <v>74</v>
      </c>
      <c r="B69" s="9" t="s">
        <v>200</v>
      </c>
      <c r="C69" s="9">
        <v>0.12609999999999999</v>
      </c>
      <c r="D69">
        <f t="shared" si="4"/>
        <v>3.7829999999999995</v>
      </c>
      <c r="E69">
        <f t="shared" si="5"/>
        <v>3.6999999999999993</v>
      </c>
      <c r="F69" s="11">
        <f t="shared" si="6"/>
        <v>0.27027027027027034</v>
      </c>
      <c r="G69" s="12">
        <f t="shared" si="7"/>
        <v>0.7297297297297296</v>
      </c>
    </row>
    <row r="70" spans="1:7" ht="14" x14ac:dyDescent="0.15">
      <c r="A70" s="9" t="s">
        <v>87</v>
      </c>
      <c r="B70" s="9" t="s">
        <v>201</v>
      </c>
      <c r="C70" s="9">
        <v>9.4299999999999995E-2</v>
      </c>
      <c r="D70">
        <f t="shared" si="4"/>
        <v>2.8289999999999997</v>
      </c>
      <c r="E70">
        <f t="shared" si="5"/>
        <v>2.7459999999999996</v>
      </c>
      <c r="F70" s="11">
        <f t="shared" si="6"/>
        <v>0.36416605972323385</v>
      </c>
      <c r="G70" s="12">
        <f t="shared" si="7"/>
        <v>0.6358339402767661</v>
      </c>
    </row>
    <row r="71" spans="1:7" ht="14" x14ac:dyDescent="0.15">
      <c r="A71" s="9" t="s">
        <v>100</v>
      </c>
      <c r="B71" s="9" t="s">
        <v>202</v>
      </c>
      <c r="C71" s="9">
        <v>0.1132</v>
      </c>
      <c r="D71">
        <f t="shared" si="4"/>
        <v>3.3959999999999999</v>
      </c>
      <c r="E71">
        <f t="shared" si="5"/>
        <v>3.3129999999999997</v>
      </c>
      <c r="F71" s="11">
        <f t="shared" si="6"/>
        <v>0.30184123151222458</v>
      </c>
      <c r="G71" s="12">
        <f t="shared" si="7"/>
        <v>0.69815876848777547</v>
      </c>
    </row>
    <row r="72" spans="1:7" ht="14" x14ac:dyDescent="0.15">
      <c r="A72" s="9" t="s">
        <v>113</v>
      </c>
      <c r="B72" s="9" t="s">
        <v>203</v>
      </c>
      <c r="C72" s="9">
        <v>9.9099999999999994E-2</v>
      </c>
      <c r="D72">
        <f t="shared" si="4"/>
        <v>2.9729999999999999</v>
      </c>
      <c r="E72">
        <f t="shared" si="5"/>
        <v>2.8899999999999997</v>
      </c>
      <c r="F72" s="11">
        <f t="shared" si="6"/>
        <v>0.34602076124567477</v>
      </c>
      <c r="G72" s="12">
        <f t="shared" si="7"/>
        <v>0.65397923875432529</v>
      </c>
    </row>
    <row r="73" spans="1:7" ht="14" x14ac:dyDescent="0.15">
      <c r="A73" s="9" t="s">
        <v>126</v>
      </c>
      <c r="B73" s="9" t="s">
        <v>204</v>
      </c>
      <c r="C73" s="9">
        <v>0.09</v>
      </c>
      <c r="D73">
        <f t="shared" si="4"/>
        <v>2.6999999999999997</v>
      </c>
      <c r="E73">
        <f t="shared" si="5"/>
        <v>2.6169999999999995</v>
      </c>
      <c r="F73" s="11">
        <f t="shared" si="6"/>
        <v>0.38211692777990069</v>
      </c>
      <c r="G73" s="12">
        <f t="shared" si="7"/>
        <v>0.61788307222009931</v>
      </c>
    </row>
    <row r="74" spans="1:7" ht="14" x14ac:dyDescent="0.15">
      <c r="A74" s="9" t="s">
        <v>35</v>
      </c>
      <c r="B74" s="9" t="s">
        <v>205</v>
      </c>
      <c r="C74" s="9">
        <v>9.1499999999999998E-2</v>
      </c>
      <c r="D74">
        <f t="shared" si="4"/>
        <v>2.7450000000000001</v>
      </c>
      <c r="E74">
        <f t="shared" si="5"/>
        <v>2.6619999999999999</v>
      </c>
      <c r="F74" s="11">
        <f t="shared" si="6"/>
        <v>0.37565740045078888</v>
      </c>
      <c r="G74" s="12">
        <f t="shared" si="7"/>
        <v>0.62434259954921112</v>
      </c>
    </row>
    <row r="75" spans="1:7" ht="14" x14ac:dyDescent="0.15">
      <c r="A75" s="9" t="s">
        <v>49</v>
      </c>
      <c r="B75" s="9" t="s">
        <v>206</v>
      </c>
      <c r="C75" s="9">
        <v>9.0200000000000002E-2</v>
      </c>
      <c r="D75">
        <f t="shared" si="4"/>
        <v>2.706</v>
      </c>
      <c r="E75">
        <f t="shared" si="5"/>
        <v>2.6229999999999998</v>
      </c>
      <c r="F75" s="11">
        <f t="shared" si="6"/>
        <v>0.38124285169653072</v>
      </c>
      <c r="G75" s="12">
        <f t="shared" si="7"/>
        <v>0.61875714830346928</v>
      </c>
    </row>
    <row r="76" spans="1:7" ht="14" x14ac:dyDescent="0.15">
      <c r="A76" s="9" t="s">
        <v>62</v>
      </c>
      <c r="B76" s="9" t="s">
        <v>207</v>
      </c>
      <c r="C76" s="9">
        <v>0.1037</v>
      </c>
      <c r="D76">
        <f t="shared" si="4"/>
        <v>3.1110000000000002</v>
      </c>
      <c r="E76">
        <f t="shared" si="5"/>
        <v>3.028</v>
      </c>
      <c r="F76" s="11">
        <f t="shared" si="6"/>
        <v>0.33025099075297226</v>
      </c>
      <c r="G76" s="12">
        <f t="shared" si="7"/>
        <v>0.66974900924702774</v>
      </c>
    </row>
    <row r="77" spans="1:7" ht="14" x14ac:dyDescent="0.15">
      <c r="A77" s="9" t="s">
        <v>75</v>
      </c>
      <c r="B77" s="9" t="s">
        <v>208</v>
      </c>
      <c r="C77" s="9">
        <v>9.3100000000000002E-2</v>
      </c>
      <c r="D77">
        <f t="shared" si="4"/>
        <v>2.7930000000000001</v>
      </c>
      <c r="E77">
        <f t="shared" si="5"/>
        <v>2.71</v>
      </c>
      <c r="F77" s="11">
        <f t="shared" si="6"/>
        <v>0.36900369003690037</v>
      </c>
      <c r="G77" s="12">
        <f t="shared" si="7"/>
        <v>0.63099630996309963</v>
      </c>
    </row>
    <row r="78" spans="1:7" ht="14" x14ac:dyDescent="0.15">
      <c r="A78" s="9" t="s">
        <v>88</v>
      </c>
      <c r="B78" s="9" t="s">
        <v>209</v>
      </c>
      <c r="C78" s="9">
        <v>8.9399999999999993E-2</v>
      </c>
      <c r="D78">
        <f t="shared" si="4"/>
        <v>2.6819999999999999</v>
      </c>
      <c r="E78">
        <f t="shared" si="5"/>
        <v>2.5989999999999998</v>
      </c>
      <c r="F78" s="11">
        <f t="shared" si="6"/>
        <v>0.38476337052712584</v>
      </c>
      <c r="G78" s="12">
        <f t="shared" si="7"/>
        <v>0.61523662947287416</v>
      </c>
    </row>
    <row r="79" spans="1:7" ht="14" x14ac:dyDescent="0.15">
      <c r="A79" s="9" t="s">
        <v>101</v>
      </c>
      <c r="B79" s="9" t="s">
        <v>210</v>
      </c>
      <c r="C79" s="9">
        <v>8.9499999999999996E-2</v>
      </c>
      <c r="D79">
        <f t="shared" si="4"/>
        <v>2.6850000000000001</v>
      </c>
      <c r="E79">
        <f t="shared" si="5"/>
        <v>2.6019999999999999</v>
      </c>
      <c r="F79" s="11">
        <f t="shared" si="6"/>
        <v>0.38431975403535745</v>
      </c>
      <c r="G79" s="12">
        <f t="shared" si="7"/>
        <v>0.61568024596464255</v>
      </c>
    </row>
    <row r="80" spans="1:7" ht="14" x14ac:dyDescent="0.15">
      <c r="A80" s="9" t="s">
        <v>114</v>
      </c>
      <c r="B80" s="9" t="s">
        <v>211</v>
      </c>
      <c r="C80" s="9">
        <v>0.10199999999999999</v>
      </c>
      <c r="D80">
        <f t="shared" si="4"/>
        <v>3.0599999999999996</v>
      </c>
      <c r="E80">
        <f t="shared" si="5"/>
        <v>2.9769999999999994</v>
      </c>
      <c r="F80" s="11">
        <f t="shared" si="6"/>
        <v>0.33590863285186434</v>
      </c>
      <c r="G80" s="12">
        <f t="shared" si="7"/>
        <v>0.66409136714813566</v>
      </c>
    </row>
    <row r="81" spans="1:7" ht="14" x14ac:dyDescent="0.15">
      <c r="A81" s="9" t="s">
        <v>127</v>
      </c>
      <c r="B81" s="9" t="s">
        <v>212</v>
      </c>
      <c r="C81" s="9">
        <v>9.2799999999999994E-2</v>
      </c>
      <c r="D81">
        <f t="shared" si="4"/>
        <v>2.7839999999999998</v>
      </c>
      <c r="E81">
        <f t="shared" si="5"/>
        <v>2.7009999999999996</v>
      </c>
      <c r="F81" s="11">
        <f t="shared" si="6"/>
        <v>0.37023324694557574</v>
      </c>
      <c r="G81" s="12">
        <f t="shared" si="7"/>
        <v>0.6297667530544242</v>
      </c>
    </row>
    <row r="82" spans="1:7" ht="14" x14ac:dyDescent="0.15">
      <c r="A82" s="9" t="s">
        <v>36</v>
      </c>
      <c r="B82" s="9" t="s">
        <v>213</v>
      </c>
      <c r="C82" s="9">
        <v>0.10009999999999999</v>
      </c>
      <c r="D82">
        <f t="shared" si="4"/>
        <v>3.0029999999999997</v>
      </c>
      <c r="E82">
        <f t="shared" si="5"/>
        <v>2.9199999999999995</v>
      </c>
      <c r="F82" s="11">
        <f t="shared" si="6"/>
        <v>0.34246575342465757</v>
      </c>
      <c r="G82" s="12">
        <f t="shared" si="7"/>
        <v>0.65753424657534243</v>
      </c>
    </row>
    <row r="83" spans="1:7" ht="14" x14ac:dyDescent="0.15">
      <c r="A83" s="9" t="s">
        <v>50</v>
      </c>
      <c r="B83" s="9" t="s">
        <v>214</v>
      </c>
      <c r="C83" s="9">
        <v>9.0999999999999998E-2</v>
      </c>
      <c r="D83">
        <f t="shared" si="4"/>
        <v>2.73</v>
      </c>
      <c r="E83">
        <f t="shared" si="5"/>
        <v>2.6469999999999998</v>
      </c>
      <c r="F83" s="11">
        <f t="shared" si="6"/>
        <v>0.37778617302606726</v>
      </c>
      <c r="G83" s="12">
        <f t="shared" si="7"/>
        <v>0.62221382697393279</v>
      </c>
    </row>
    <row r="84" spans="1:7" ht="14" x14ac:dyDescent="0.15">
      <c r="A84" s="9" t="s">
        <v>63</v>
      </c>
      <c r="B84" s="9" t="s">
        <v>215</v>
      </c>
      <c r="C84" s="9">
        <v>0.1052</v>
      </c>
      <c r="D84">
        <f t="shared" si="4"/>
        <v>3.1560000000000001</v>
      </c>
      <c r="E84">
        <f t="shared" si="5"/>
        <v>3.073</v>
      </c>
      <c r="F84" s="11">
        <f t="shared" si="6"/>
        <v>0.32541490400260331</v>
      </c>
      <c r="G84" s="12">
        <f t="shared" si="7"/>
        <v>0.67458509599739669</v>
      </c>
    </row>
    <row r="85" spans="1:7" ht="14" x14ac:dyDescent="0.15">
      <c r="A85" s="9" t="s">
        <v>76</v>
      </c>
      <c r="B85" s="9" t="s">
        <v>216</v>
      </c>
      <c r="C85" s="9">
        <v>9.9199999999999997E-2</v>
      </c>
      <c r="D85">
        <f t="shared" si="4"/>
        <v>2.976</v>
      </c>
      <c r="E85">
        <f t="shared" si="5"/>
        <v>2.8929999999999998</v>
      </c>
      <c r="F85" s="11">
        <f t="shared" si="6"/>
        <v>0.34566194262011757</v>
      </c>
      <c r="G85" s="12">
        <f t="shared" si="7"/>
        <v>0.65433805737988249</v>
      </c>
    </row>
    <row r="86" spans="1:7" ht="14" x14ac:dyDescent="0.15">
      <c r="A86" s="9" t="s">
        <v>89</v>
      </c>
      <c r="B86" s="9" t="s">
        <v>217</v>
      </c>
      <c r="C86" s="9">
        <v>9.0399999999999994E-2</v>
      </c>
      <c r="D86">
        <f t="shared" si="4"/>
        <v>2.7119999999999997</v>
      </c>
      <c r="E86">
        <f t="shared" si="5"/>
        <v>2.6289999999999996</v>
      </c>
      <c r="F86" s="11">
        <f t="shared" si="6"/>
        <v>0.38037276531000386</v>
      </c>
      <c r="G86" s="12">
        <f t="shared" si="7"/>
        <v>0.61962723468999614</v>
      </c>
    </row>
    <row r="87" spans="1:7" ht="14" x14ac:dyDescent="0.15">
      <c r="A87" s="9" t="s">
        <v>102</v>
      </c>
      <c r="B87" s="9" t="s">
        <v>218</v>
      </c>
      <c r="C87" s="9">
        <v>9.9299999999999999E-2</v>
      </c>
      <c r="D87">
        <f t="shared" si="4"/>
        <v>2.9790000000000001</v>
      </c>
      <c r="E87">
        <f t="shared" si="5"/>
        <v>2.8959999999999999</v>
      </c>
      <c r="F87" s="11">
        <f t="shared" si="6"/>
        <v>0.34530386740331492</v>
      </c>
      <c r="G87" s="12">
        <f t="shared" si="7"/>
        <v>0.65469613259668513</v>
      </c>
    </row>
    <row r="88" spans="1:7" ht="14" x14ac:dyDescent="0.15">
      <c r="A88" s="9" t="s">
        <v>115</v>
      </c>
      <c r="B88" s="9" t="s">
        <v>219</v>
      </c>
      <c r="C88" s="9">
        <v>0.1065</v>
      </c>
      <c r="D88">
        <f t="shared" si="4"/>
        <v>3.1949999999999998</v>
      </c>
      <c r="E88">
        <f t="shared" si="5"/>
        <v>3.1119999999999997</v>
      </c>
      <c r="F88" s="11">
        <f t="shared" si="6"/>
        <v>0.32133676092544988</v>
      </c>
      <c r="G88" s="12">
        <f t="shared" si="7"/>
        <v>0.67866323907455017</v>
      </c>
    </row>
    <row r="89" spans="1:7" ht="14" x14ac:dyDescent="0.15">
      <c r="A89" s="9" t="s">
        <v>128</v>
      </c>
      <c r="B89" s="9" t="s">
        <v>220</v>
      </c>
      <c r="C89" s="9">
        <v>8.77E-2</v>
      </c>
      <c r="D89">
        <f t="shared" si="4"/>
        <v>2.6310000000000002</v>
      </c>
      <c r="E89">
        <f t="shared" si="5"/>
        <v>2.548</v>
      </c>
      <c r="F89" s="11">
        <f t="shared" si="6"/>
        <v>0.39246467817896391</v>
      </c>
      <c r="G89" s="12">
        <f t="shared" si="7"/>
        <v>0.60753532182103609</v>
      </c>
    </row>
    <row r="90" spans="1:7" ht="14" x14ac:dyDescent="0.15">
      <c r="A90" s="9" t="s">
        <v>37</v>
      </c>
      <c r="B90" s="9" t="s">
        <v>221</v>
      </c>
      <c r="C90" s="9">
        <v>8.5000000000000006E-2</v>
      </c>
      <c r="D90">
        <f t="shared" si="4"/>
        <v>2.5500000000000003</v>
      </c>
      <c r="E90">
        <f t="shared" si="5"/>
        <v>2.4670000000000001</v>
      </c>
      <c r="F90" s="11">
        <f t="shared" si="6"/>
        <v>0.40535062829347385</v>
      </c>
      <c r="G90" s="12">
        <f t="shared" si="7"/>
        <v>0.59464937170652621</v>
      </c>
    </row>
    <row r="91" spans="1:7" ht="14" x14ac:dyDescent="0.15">
      <c r="A91" s="9" t="s">
        <v>51</v>
      </c>
      <c r="B91" s="9" t="s">
        <v>222</v>
      </c>
      <c r="C91" s="9">
        <v>0.1052</v>
      </c>
      <c r="D91">
        <f t="shared" si="4"/>
        <v>3.1560000000000001</v>
      </c>
      <c r="E91">
        <f t="shared" si="5"/>
        <v>3.073</v>
      </c>
      <c r="F91" s="11">
        <f t="shared" si="6"/>
        <v>0.32541490400260331</v>
      </c>
      <c r="G91" s="12">
        <f t="shared" si="7"/>
        <v>0.67458509599739669</v>
      </c>
    </row>
    <row r="92" spans="1:7" ht="14" x14ac:dyDescent="0.15">
      <c r="A92" s="9" t="s">
        <v>64</v>
      </c>
      <c r="B92" s="9" t="s">
        <v>223</v>
      </c>
      <c r="C92" s="9">
        <v>0.1038</v>
      </c>
      <c r="D92">
        <f t="shared" si="4"/>
        <v>3.1139999999999999</v>
      </c>
      <c r="E92">
        <f t="shared" si="5"/>
        <v>3.0309999999999997</v>
      </c>
      <c r="F92" s="11">
        <f t="shared" si="6"/>
        <v>0.32992411745298583</v>
      </c>
      <c r="G92" s="12">
        <f t="shared" si="7"/>
        <v>0.67007588254701411</v>
      </c>
    </row>
    <row r="93" spans="1:7" ht="14" x14ac:dyDescent="0.15">
      <c r="A93" s="9" t="s">
        <v>77</v>
      </c>
      <c r="B93" s="9" t="s">
        <v>224</v>
      </c>
      <c r="C93" s="9">
        <v>0.105</v>
      </c>
      <c r="D93">
        <f t="shared" si="4"/>
        <v>3.15</v>
      </c>
      <c r="E93">
        <f t="shared" si="5"/>
        <v>3.0669999999999997</v>
      </c>
      <c r="F93" s="11">
        <f t="shared" si="6"/>
        <v>0.32605151613955008</v>
      </c>
      <c r="G93" s="12">
        <f t="shared" si="7"/>
        <v>0.67394848386044992</v>
      </c>
    </row>
    <row r="94" spans="1:7" ht="14" x14ac:dyDescent="0.15">
      <c r="A94" s="9" t="s">
        <v>90</v>
      </c>
      <c r="B94" s="9" t="s">
        <v>225</v>
      </c>
      <c r="C94" s="9">
        <v>9.3100000000000002E-2</v>
      </c>
      <c r="D94">
        <f t="shared" si="4"/>
        <v>2.7930000000000001</v>
      </c>
      <c r="E94">
        <f t="shared" si="5"/>
        <v>2.71</v>
      </c>
      <c r="F94" s="11">
        <f t="shared" si="6"/>
        <v>0.36900369003690037</v>
      </c>
      <c r="G94" s="12">
        <f t="shared" si="7"/>
        <v>0.63099630996309963</v>
      </c>
    </row>
    <row r="95" spans="1:7" ht="14" x14ac:dyDescent="0.15">
      <c r="A95" s="9" t="s">
        <v>103</v>
      </c>
      <c r="B95" s="9" t="s">
        <v>226</v>
      </c>
      <c r="C95" s="9">
        <v>0.1036</v>
      </c>
      <c r="D95">
        <f t="shared" si="4"/>
        <v>3.1080000000000001</v>
      </c>
      <c r="E95">
        <f t="shared" si="5"/>
        <v>3.0249999999999999</v>
      </c>
      <c r="F95" s="11">
        <f t="shared" si="6"/>
        <v>0.33057851239669422</v>
      </c>
      <c r="G95" s="12">
        <f t="shared" si="7"/>
        <v>0.66942148760330578</v>
      </c>
    </row>
    <row r="96" spans="1:7" ht="14" x14ac:dyDescent="0.15">
      <c r="A96" s="9" t="s">
        <v>116</v>
      </c>
      <c r="B96" s="9" t="s">
        <v>227</v>
      </c>
      <c r="C96" s="9">
        <v>8.8200000000000001E-2</v>
      </c>
      <c r="D96">
        <f t="shared" si="4"/>
        <v>2.6459999999999999</v>
      </c>
      <c r="E96">
        <f t="shared" si="5"/>
        <v>2.5629999999999997</v>
      </c>
      <c r="F96" s="11">
        <f t="shared" si="6"/>
        <v>0.39016777214202109</v>
      </c>
      <c r="G96" s="12">
        <f t="shared" si="7"/>
        <v>0.60983222785797886</v>
      </c>
    </row>
    <row r="97" spans="1:7" ht="14" x14ac:dyDescent="0.15">
      <c r="A97" s="9" t="s">
        <v>129</v>
      </c>
      <c r="B97" s="9" t="s">
        <v>228</v>
      </c>
      <c r="C97" s="9">
        <v>8.7400000000000005E-2</v>
      </c>
      <c r="D97">
        <f t="shared" si="4"/>
        <v>2.6220000000000003</v>
      </c>
      <c r="E97">
        <f t="shared" si="5"/>
        <v>2.5390000000000001</v>
      </c>
      <c r="F97" s="11">
        <f t="shared" si="6"/>
        <v>0.39385584875935403</v>
      </c>
      <c r="G97" s="12">
        <f t="shared" si="7"/>
        <v>0.60614415124064602</v>
      </c>
    </row>
    <row r="98" spans="1:7" ht="14" x14ac:dyDescent="0.15">
      <c r="A98" s="6" t="s">
        <v>38</v>
      </c>
      <c r="B98" s="6" t="s">
        <v>132</v>
      </c>
      <c r="C98" s="6">
        <v>600</v>
      </c>
      <c r="D98">
        <f t="shared" si="4"/>
        <v>18000</v>
      </c>
      <c r="E98">
        <f t="shared" si="5"/>
        <v>17999.917000000001</v>
      </c>
      <c r="F98" s="11">
        <f t="shared" si="6"/>
        <v>5.5555811729576302E-5</v>
      </c>
      <c r="G98" s="12">
        <f t="shared" si="7"/>
        <v>0.99994444418827044</v>
      </c>
    </row>
    <row r="99" spans="1:7" ht="14" x14ac:dyDescent="0.15">
      <c r="A99" s="9" t="s">
        <v>26</v>
      </c>
      <c r="B99" s="9" t="s">
        <v>133</v>
      </c>
      <c r="C99" s="9">
        <v>0.1038</v>
      </c>
      <c r="D99">
        <f t="shared" si="4"/>
        <v>3.1139999999999999</v>
      </c>
      <c r="E99">
        <f t="shared" si="5"/>
        <v>3.0309999999999997</v>
      </c>
      <c r="F99" s="11">
        <f t="shared" si="6"/>
        <v>0.32992411745298583</v>
      </c>
      <c r="G99" s="12">
        <f t="shared" si="7"/>
        <v>0.67007588254701411</v>
      </c>
    </row>
    <row r="100" spans="1:7" ht="14" x14ac:dyDescent="0.15">
      <c r="A100" s="9" t="s">
        <v>40</v>
      </c>
      <c r="B100" s="9" t="s">
        <v>134</v>
      </c>
      <c r="C100" s="9">
        <v>0.111</v>
      </c>
      <c r="D100">
        <f t="shared" si="4"/>
        <v>3.33</v>
      </c>
      <c r="E100">
        <f t="shared" si="5"/>
        <v>3.2469999999999999</v>
      </c>
      <c r="F100" s="11">
        <f t="shared" si="6"/>
        <v>0.30797659377887282</v>
      </c>
      <c r="G100" s="12">
        <f t="shared" si="7"/>
        <v>0.69202340622112724</v>
      </c>
    </row>
    <row r="101" spans="1:7" ht="14" x14ac:dyDescent="0.15">
      <c r="A101" s="9" t="s">
        <v>53</v>
      </c>
      <c r="B101" s="9" t="s">
        <v>135</v>
      </c>
      <c r="C101" s="9">
        <v>0.10929999999999999</v>
      </c>
      <c r="D101">
        <f t="shared" si="4"/>
        <v>3.2789999999999999</v>
      </c>
      <c r="E101">
        <f t="shared" si="5"/>
        <v>3.1959999999999997</v>
      </c>
      <c r="F101" s="11">
        <f t="shared" si="6"/>
        <v>0.31289111389236546</v>
      </c>
      <c r="G101" s="12">
        <f t="shared" si="7"/>
        <v>0.68710888610763454</v>
      </c>
    </row>
    <row r="102" spans="1:7" ht="14" x14ac:dyDescent="0.15">
      <c r="A102" s="9" t="s">
        <v>66</v>
      </c>
      <c r="B102" s="9" t="s">
        <v>136</v>
      </c>
      <c r="C102" s="9">
        <v>9.1200000000000003E-2</v>
      </c>
      <c r="D102">
        <f t="shared" si="4"/>
        <v>2.7360000000000002</v>
      </c>
      <c r="E102">
        <f t="shared" si="5"/>
        <v>2.653</v>
      </c>
      <c r="F102" s="11">
        <f t="shared" si="6"/>
        <v>0.3769317753486619</v>
      </c>
      <c r="G102" s="12">
        <f t="shared" si="7"/>
        <v>0.62306822465133815</v>
      </c>
    </row>
    <row r="103" spans="1:7" ht="14" x14ac:dyDescent="0.15">
      <c r="A103" s="9" t="s">
        <v>79</v>
      </c>
      <c r="B103" s="9" t="s">
        <v>137</v>
      </c>
      <c r="C103" s="9">
        <v>8.77E-2</v>
      </c>
      <c r="D103">
        <f t="shared" si="4"/>
        <v>2.6310000000000002</v>
      </c>
      <c r="E103">
        <f t="shared" si="5"/>
        <v>2.548</v>
      </c>
      <c r="F103" s="11">
        <f t="shared" si="6"/>
        <v>0.39246467817896391</v>
      </c>
      <c r="G103" s="12">
        <f t="shared" si="7"/>
        <v>0.60753532182103609</v>
      </c>
    </row>
    <row r="104" spans="1:7" ht="14" x14ac:dyDescent="0.15">
      <c r="A104" s="9" t="s">
        <v>92</v>
      </c>
      <c r="B104" s="9" t="s">
        <v>138</v>
      </c>
      <c r="C104" s="9">
        <v>9.1499999999999998E-2</v>
      </c>
      <c r="D104">
        <f t="shared" si="4"/>
        <v>2.7450000000000001</v>
      </c>
      <c r="E104">
        <f t="shared" si="5"/>
        <v>2.6619999999999999</v>
      </c>
      <c r="F104" s="11">
        <f t="shared" si="6"/>
        <v>0.37565740045078888</v>
      </c>
      <c r="G104" s="12">
        <f t="shared" si="7"/>
        <v>0.62434259954921112</v>
      </c>
    </row>
    <row r="105" spans="1:7" ht="14" x14ac:dyDescent="0.15">
      <c r="A105" s="9" t="s">
        <v>105</v>
      </c>
      <c r="B105" s="9" t="s">
        <v>139</v>
      </c>
      <c r="C105" s="9">
        <v>9.8299999999999998E-2</v>
      </c>
      <c r="D105">
        <f t="shared" si="4"/>
        <v>2.9489999999999998</v>
      </c>
      <c r="E105">
        <f t="shared" si="5"/>
        <v>2.8659999999999997</v>
      </c>
      <c r="F105" s="11">
        <f t="shared" si="6"/>
        <v>0.34891835310537339</v>
      </c>
      <c r="G105" s="12">
        <f t="shared" si="7"/>
        <v>0.65108164689462655</v>
      </c>
    </row>
    <row r="106" spans="1:7" ht="14" x14ac:dyDescent="0.15">
      <c r="A106" s="9" t="s">
        <v>118</v>
      </c>
      <c r="B106" s="9" t="s">
        <v>140</v>
      </c>
      <c r="C106" s="9">
        <v>0.1013</v>
      </c>
      <c r="D106">
        <f t="shared" si="4"/>
        <v>3.0390000000000001</v>
      </c>
      <c r="E106">
        <f t="shared" si="5"/>
        <v>2.956</v>
      </c>
      <c r="F106" s="11">
        <f t="shared" si="6"/>
        <v>0.33829499323410012</v>
      </c>
      <c r="G106" s="12">
        <f t="shared" si="7"/>
        <v>0.66170500676589983</v>
      </c>
    </row>
    <row r="107" spans="1:7" ht="14" x14ac:dyDescent="0.15">
      <c r="A107" s="9" t="s">
        <v>27</v>
      </c>
      <c r="B107" s="9" t="s">
        <v>141</v>
      </c>
      <c r="C107" s="9">
        <v>9.7100000000000006E-2</v>
      </c>
      <c r="D107">
        <f t="shared" si="4"/>
        <v>2.9130000000000003</v>
      </c>
      <c r="E107">
        <f t="shared" si="5"/>
        <v>2.83</v>
      </c>
      <c r="F107" s="11">
        <f t="shared" si="6"/>
        <v>0.35335689045936397</v>
      </c>
      <c r="G107" s="12">
        <f t="shared" si="7"/>
        <v>0.64664310954063597</v>
      </c>
    </row>
    <row r="108" spans="1:7" ht="14" x14ac:dyDescent="0.15">
      <c r="A108" s="9" t="s">
        <v>41</v>
      </c>
      <c r="B108" s="9" t="s">
        <v>142</v>
      </c>
      <c r="C108" s="9">
        <v>0.1018</v>
      </c>
      <c r="D108">
        <f t="shared" si="4"/>
        <v>3.0540000000000003</v>
      </c>
      <c r="E108">
        <f t="shared" si="5"/>
        <v>2.9710000000000001</v>
      </c>
      <c r="F108" s="11">
        <f t="shared" si="6"/>
        <v>0.33658700774150119</v>
      </c>
      <c r="G108" s="12">
        <f t="shared" si="7"/>
        <v>0.66341299225849881</v>
      </c>
    </row>
    <row r="109" spans="1:7" ht="14" x14ac:dyDescent="0.15">
      <c r="A109" s="9" t="s">
        <v>54</v>
      </c>
      <c r="B109" s="9" t="s">
        <v>143</v>
      </c>
      <c r="C109" s="9">
        <v>9.1499999999999998E-2</v>
      </c>
      <c r="D109">
        <f t="shared" si="4"/>
        <v>2.7450000000000001</v>
      </c>
      <c r="E109">
        <f t="shared" si="5"/>
        <v>2.6619999999999999</v>
      </c>
      <c r="F109" s="11">
        <f t="shared" si="6"/>
        <v>0.37565740045078888</v>
      </c>
      <c r="G109" s="12">
        <f t="shared" si="7"/>
        <v>0.62434259954921112</v>
      </c>
    </row>
    <row r="110" spans="1:7" ht="14" x14ac:dyDescent="0.15">
      <c r="A110" s="9" t="s">
        <v>67</v>
      </c>
      <c r="B110" s="9" t="s">
        <v>144</v>
      </c>
      <c r="C110" s="9">
        <v>9.1800000000000007E-2</v>
      </c>
      <c r="D110">
        <f t="shared" si="4"/>
        <v>2.754</v>
      </c>
      <c r="E110">
        <f t="shared" si="5"/>
        <v>2.6709999999999998</v>
      </c>
      <c r="F110" s="11">
        <f t="shared" si="6"/>
        <v>0.37439161362785478</v>
      </c>
      <c r="G110" s="12">
        <f t="shared" si="7"/>
        <v>0.62560838637214522</v>
      </c>
    </row>
    <row r="111" spans="1:7" ht="14" x14ac:dyDescent="0.15">
      <c r="A111" s="9" t="s">
        <v>80</v>
      </c>
      <c r="B111" s="9" t="s">
        <v>145</v>
      </c>
      <c r="C111" s="9">
        <v>9.1600000000000001E-2</v>
      </c>
      <c r="D111">
        <f t="shared" si="4"/>
        <v>2.7480000000000002</v>
      </c>
      <c r="E111">
        <f t="shared" si="5"/>
        <v>2.665</v>
      </c>
      <c r="F111" s="11">
        <f t="shared" si="6"/>
        <v>0.37523452157598497</v>
      </c>
      <c r="G111" s="12">
        <f t="shared" si="7"/>
        <v>0.62476547842401509</v>
      </c>
    </row>
    <row r="112" spans="1:7" ht="14" x14ac:dyDescent="0.15">
      <c r="A112" s="9" t="s">
        <v>93</v>
      </c>
      <c r="B112" s="9" t="s">
        <v>146</v>
      </c>
      <c r="C112" s="9">
        <v>0.10829999999999999</v>
      </c>
      <c r="D112">
        <f t="shared" si="4"/>
        <v>3.2489999999999997</v>
      </c>
      <c r="E112">
        <f t="shared" si="5"/>
        <v>3.1659999999999995</v>
      </c>
      <c r="F112" s="11">
        <f t="shared" si="6"/>
        <v>0.31585596967782698</v>
      </c>
      <c r="G112" s="12">
        <f t="shared" si="7"/>
        <v>0.68414403032217308</v>
      </c>
    </row>
    <row r="113" spans="1:7" ht="14" x14ac:dyDescent="0.15">
      <c r="A113" s="9" t="s">
        <v>106</v>
      </c>
      <c r="B113" s="9" t="s">
        <v>147</v>
      </c>
      <c r="C113" s="9">
        <v>0.1144</v>
      </c>
      <c r="D113">
        <f t="shared" si="4"/>
        <v>3.4319999999999999</v>
      </c>
      <c r="E113">
        <f t="shared" si="5"/>
        <v>3.3489999999999998</v>
      </c>
      <c r="F113" s="11">
        <f t="shared" si="6"/>
        <v>0.29859659599880561</v>
      </c>
      <c r="G113" s="12">
        <f t="shared" si="7"/>
        <v>0.70140340400119439</v>
      </c>
    </row>
    <row r="114" spans="1:7" ht="14" x14ac:dyDescent="0.15">
      <c r="A114" s="9" t="s">
        <v>119</v>
      </c>
      <c r="B114" s="9" t="s">
        <v>148</v>
      </c>
      <c r="C114" s="9">
        <v>9.3899999999999997E-2</v>
      </c>
      <c r="D114">
        <f t="shared" si="4"/>
        <v>2.8169999999999997</v>
      </c>
      <c r="E114">
        <f t="shared" si="5"/>
        <v>2.7339999999999995</v>
      </c>
      <c r="F114" s="11">
        <f t="shared" si="6"/>
        <v>0.36576444769568406</v>
      </c>
      <c r="G114" s="12">
        <f t="shared" si="7"/>
        <v>0.63423555230431594</v>
      </c>
    </row>
    <row r="115" spans="1:7" ht="14" x14ac:dyDescent="0.15">
      <c r="A115" s="9" t="s">
        <v>28</v>
      </c>
      <c r="B115" s="9" t="s">
        <v>149</v>
      </c>
      <c r="C115" s="9">
        <v>0.1103</v>
      </c>
      <c r="D115">
        <f t="shared" si="4"/>
        <v>3.3089999999999997</v>
      </c>
      <c r="E115">
        <f t="shared" si="5"/>
        <v>3.2259999999999995</v>
      </c>
      <c r="F115" s="11">
        <f t="shared" si="6"/>
        <v>0.30998140111593309</v>
      </c>
      <c r="G115" s="12">
        <f t="shared" si="7"/>
        <v>0.69001859888406691</v>
      </c>
    </row>
    <row r="116" spans="1:7" ht="14" x14ac:dyDescent="0.15">
      <c r="A116" s="9" t="s">
        <v>42</v>
      </c>
      <c r="B116" s="9" t="s">
        <v>150</v>
      </c>
      <c r="C116" s="9">
        <v>9.5699999999999993E-2</v>
      </c>
      <c r="D116">
        <f t="shared" si="4"/>
        <v>2.871</v>
      </c>
      <c r="E116">
        <f t="shared" si="5"/>
        <v>2.7879999999999998</v>
      </c>
      <c r="F116" s="11">
        <f t="shared" si="6"/>
        <v>0.3586800573888092</v>
      </c>
      <c r="G116" s="12">
        <f t="shared" si="7"/>
        <v>0.64131994261119085</v>
      </c>
    </row>
    <row r="117" spans="1:7" ht="14" x14ac:dyDescent="0.15">
      <c r="A117" s="9" t="s">
        <v>55</v>
      </c>
      <c r="B117" s="9" t="s">
        <v>151</v>
      </c>
      <c r="C117" s="9">
        <v>9.3399999999999997E-2</v>
      </c>
      <c r="D117">
        <f t="shared" si="4"/>
        <v>2.802</v>
      </c>
      <c r="E117">
        <f t="shared" si="5"/>
        <v>2.7189999999999999</v>
      </c>
      <c r="F117" s="11">
        <f t="shared" si="6"/>
        <v>0.36778227289444648</v>
      </c>
      <c r="G117" s="12">
        <f t="shared" si="7"/>
        <v>0.63221772710555357</v>
      </c>
    </row>
    <row r="118" spans="1:7" ht="14" x14ac:dyDescent="0.15">
      <c r="A118" s="9" t="s">
        <v>68</v>
      </c>
      <c r="B118" s="9" t="s">
        <v>152</v>
      </c>
      <c r="C118" s="9">
        <v>8.9499999999999996E-2</v>
      </c>
      <c r="D118">
        <f t="shared" si="4"/>
        <v>2.6850000000000001</v>
      </c>
      <c r="E118">
        <f t="shared" si="5"/>
        <v>2.6019999999999999</v>
      </c>
      <c r="F118" s="11">
        <f t="shared" si="6"/>
        <v>0.38431975403535745</v>
      </c>
      <c r="G118" s="12">
        <f t="shared" si="7"/>
        <v>0.61568024596464255</v>
      </c>
    </row>
    <row r="119" spans="1:7" ht="14" x14ac:dyDescent="0.15">
      <c r="A119" s="9" t="s">
        <v>81</v>
      </c>
      <c r="B119" s="9" t="s">
        <v>153</v>
      </c>
      <c r="C119" s="9">
        <v>9.1700000000000004E-2</v>
      </c>
      <c r="D119">
        <f t="shared" si="4"/>
        <v>2.7510000000000003</v>
      </c>
      <c r="E119">
        <f t="shared" si="5"/>
        <v>2.6680000000000001</v>
      </c>
      <c r="F119" s="11">
        <f t="shared" si="6"/>
        <v>0.3748125937031484</v>
      </c>
      <c r="G119" s="12">
        <f t="shared" si="7"/>
        <v>0.62518740629685166</v>
      </c>
    </row>
    <row r="120" spans="1:7" ht="14" x14ac:dyDescent="0.15">
      <c r="A120" s="9" t="s">
        <v>94</v>
      </c>
      <c r="B120" s="9" t="s">
        <v>154</v>
      </c>
      <c r="C120" s="9">
        <v>9.1300000000000006E-2</v>
      </c>
      <c r="D120">
        <f t="shared" si="4"/>
        <v>2.7390000000000003</v>
      </c>
      <c r="E120">
        <f t="shared" si="5"/>
        <v>2.6560000000000001</v>
      </c>
      <c r="F120" s="11">
        <f t="shared" si="6"/>
        <v>0.37650602409638551</v>
      </c>
      <c r="G120" s="12">
        <f t="shared" si="7"/>
        <v>0.62349397590361444</v>
      </c>
    </row>
    <row r="121" spans="1:7" ht="14" x14ac:dyDescent="0.15">
      <c r="A121" s="9" t="s">
        <v>107</v>
      </c>
      <c r="B121" s="9" t="s">
        <v>155</v>
      </c>
      <c r="C121" s="9">
        <v>9.6100000000000005E-2</v>
      </c>
      <c r="D121">
        <f t="shared" si="4"/>
        <v>2.883</v>
      </c>
      <c r="E121">
        <f t="shared" si="5"/>
        <v>2.8</v>
      </c>
      <c r="F121" s="11">
        <f t="shared" si="6"/>
        <v>0.35714285714285715</v>
      </c>
      <c r="G121" s="12">
        <f t="shared" si="7"/>
        <v>0.64285714285714279</v>
      </c>
    </row>
    <row r="122" spans="1:7" ht="14" x14ac:dyDescent="0.15">
      <c r="A122" s="9" t="s">
        <v>120</v>
      </c>
      <c r="B122" s="9" t="s">
        <v>156</v>
      </c>
      <c r="C122" s="9">
        <v>0.11650000000000001</v>
      </c>
      <c r="D122">
        <f t="shared" si="4"/>
        <v>3.4950000000000001</v>
      </c>
      <c r="E122">
        <f t="shared" si="5"/>
        <v>3.4119999999999999</v>
      </c>
      <c r="F122" s="11">
        <f t="shared" si="6"/>
        <v>0.29308323563892147</v>
      </c>
      <c r="G122" s="12">
        <f t="shared" si="7"/>
        <v>0.70691676436107853</v>
      </c>
    </row>
    <row r="123" spans="1:7" ht="14" x14ac:dyDescent="0.15">
      <c r="A123" s="9" t="s">
        <v>29</v>
      </c>
      <c r="B123" s="9" t="s">
        <v>157</v>
      </c>
      <c r="C123" s="9">
        <v>8.8300000000000003E-2</v>
      </c>
      <c r="D123">
        <f t="shared" si="4"/>
        <v>2.649</v>
      </c>
      <c r="E123">
        <f t="shared" si="5"/>
        <v>2.5659999999999998</v>
      </c>
      <c r="F123" s="11">
        <f t="shared" si="6"/>
        <v>0.38971161340607952</v>
      </c>
      <c r="G123" s="12">
        <f t="shared" si="7"/>
        <v>0.61028838659392048</v>
      </c>
    </row>
    <row r="124" spans="1:7" ht="14" x14ac:dyDescent="0.15">
      <c r="A124" s="9" t="s">
        <v>43</v>
      </c>
      <c r="B124" s="9" t="s">
        <v>158</v>
      </c>
      <c r="C124" s="9">
        <v>9.8199999999999996E-2</v>
      </c>
      <c r="D124">
        <f t="shared" si="4"/>
        <v>2.9459999999999997</v>
      </c>
      <c r="E124">
        <f t="shared" si="5"/>
        <v>2.8629999999999995</v>
      </c>
      <c r="F124" s="11">
        <f t="shared" si="6"/>
        <v>0.34928396786587501</v>
      </c>
      <c r="G124" s="12">
        <f t="shared" si="7"/>
        <v>0.65071603213412499</v>
      </c>
    </row>
    <row r="125" spans="1:7" ht="14" x14ac:dyDescent="0.15">
      <c r="A125" s="9" t="s">
        <v>56</v>
      </c>
      <c r="B125" s="9" t="s">
        <v>159</v>
      </c>
      <c r="C125" s="9">
        <v>9.8100000000000007E-2</v>
      </c>
      <c r="D125">
        <f t="shared" si="4"/>
        <v>2.9430000000000001</v>
      </c>
      <c r="E125">
        <f t="shared" si="5"/>
        <v>2.86</v>
      </c>
      <c r="F125" s="11">
        <f t="shared" si="6"/>
        <v>0.34965034965034969</v>
      </c>
      <c r="G125" s="12">
        <f t="shared" si="7"/>
        <v>0.65034965034965031</v>
      </c>
    </row>
    <row r="126" spans="1:7" ht="14" x14ac:dyDescent="0.15">
      <c r="A126" s="9" t="s">
        <v>69</v>
      </c>
      <c r="B126" s="9" t="s">
        <v>160</v>
      </c>
      <c r="C126" s="9">
        <v>0.10050000000000001</v>
      </c>
      <c r="D126">
        <f t="shared" si="4"/>
        <v>3.0150000000000001</v>
      </c>
      <c r="E126">
        <f t="shared" si="5"/>
        <v>2.9319999999999999</v>
      </c>
      <c r="F126" s="11">
        <f t="shared" si="6"/>
        <v>0.34106412005457026</v>
      </c>
      <c r="G126" s="12">
        <f t="shared" si="7"/>
        <v>0.65893587994542968</v>
      </c>
    </row>
    <row r="127" spans="1:7" ht="14" x14ac:dyDescent="0.15">
      <c r="A127" s="9" t="s">
        <v>82</v>
      </c>
      <c r="B127" s="9" t="s">
        <v>161</v>
      </c>
      <c r="C127" s="9">
        <v>9.35E-2</v>
      </c>
      <c r="D127">
        <f t="shared" si="4"/>
        <v>2.8050000000000002</v>
      </c>
      <c r="E127">
        <f t="shared" si="5"/>
        <v>2.722</v>
      </c>
      <c r="F127" s="11">
        <f t="shared" si="6"/>
        <v>0.36737692872887584</v>
      </c>
      <c r="G127" s="12">
        <f t="shared" si="7"/>
        <v>0.63262307127112416</v>
      </c>
    </row>
    <row r="128" spans="1:7" ht="14" x14ac:dyDescent="0.15">
      <c r="A128" s="9" t="s">
        <v>95</v>
      </c>
      <c r="B128" s="9" t="s">
        <v>162</v>
      </c>
      <c r="C128" s="9">
        <v>8.7900000000000006E-2</v>
      </c>
      <c r="D128">
        <f t="shared" si="4"/>
        <v>2.637</v>
      </c>
      <c r="E128">
        <f t="shared" si="5"/>
        <v>2.5539999999999998</v>
      </c>
      <c r="F128" s="11">
        <f t="shared" si="6"/>
        <v>0.39154267815191857</v>
      </c>
      <c r="G128" s="12">
        <f t="shared" si="7"/>
        <v>0.60845732184808143</v>
      </c>
    </row>
    <row r="129" spans="1:7" ht="14" x14ac:dyDescent="0.15">
      <c r="A129" s="9" t="s">
        <v>108</v>
      </c>
      <c r="B129" s="9" t="s">
        <v>163</v>
      </c>
      <c r="C129" s="9">
        <v>0.1019</v>
      </c>
      <c r="D129">
        <f t="shared" si="4"/>
        <v>3.0569999999999999</v>
      </c>
      <c r="E129">
        <f t="shared" si="5"/>
        <v>2.9739999999999998</v>
      </c>
      <c r="F129" s="11">
        <f t="shared" si="6"/>
        <v>0.33624747814391392</v>
      </c>
      <c r="G129" s="12">
        <f t="shared" si="7"/>
        <v>0.66375252185608602</v>
      </c>
    </row>
    <row r="130" spans="1:7" ht="14" x14ac:dyDescent="0.15">
      <c r="A130" s="9" t="s">
        <v>121</v>
      </c>
      <c r="B130" s="9" t="s">
        <v>164</v>
      </c>
      <c r="C130" s="9">
        <v>9.9000000000000005E-2</v>
      </c>
      <c r="D130">
        <f t="shared" si="4"/>
        <v>2.97</v>
      </c>
      <c r="E130">
        <f t="shared" si="5"/>
        <v>2.887</v>
      </c>
      <c r="F130" s="11">
        <f t="shared" si="6"/>
        <v>0.34638032559750603</v>
      </c>
      <c r="G130" s="12">
        <f t="shared" si="7"/>
        <v>0.65361967440249402</v>
      </c>
    </row>
    <row r="131" spans="1:7" ht="14" x14ac:dyDescent="0.15">
      <c r="A131" s="9" t="s">
        <v>30</v>
      </c>
      <c r="B131" s="9" t="s">
        <v>165</v>
      </c>
      <c r="C131" s="9">
        <v>9.8100000000000007E-2</v>
      </c>
      <c r="D131">
        <f t="shared" ref="D131:D138" si="8">C131*30</f>
        <v>2.9430000000000001</v>
      </c>
      <c r="E131">
        <f t="shared" ref="E131:E138" si="9">D131-0.083</f>
        <v>2.86</v>
      </c>
      <c r="F131" s="11">
        <f t="shared" ref="F131:F138" si="10">(1*1)/E131</f>
        <v>0.34965034965034969</v>
      </c>
      <c r="G131" s="12">
        <f t="shared" ref="G131:G138" si="11">1-F131</f>
        <v>0.65034965034965031</v>
      </c>
    </row>
    <row r="132" spans="1:7" ht="14" x14ac:dyDescent="0.15">
      <c r="A132" s="9" t="s">
        <v>44</v>
      </c>
      <c r="B132" s="9" t="s">
        <v>166</v>
      </c>
      <c r="C132" s="9">
        <v>9.98E-2</v>
      </c>
      <c r="D132">
        <f t="shared" si="8"/>
        <v>2.9939999999999998</v>
      </c>
      <c r="E132">
        <f t="shared" si="9"/>
        <v>2.9109999999999996</v>
      </c>
      <c r="F132" s="11">
        <f t="shared" si="10"/>
        <v>0.34352456200618348</v>
      </c>
      <c r="G132" s="12">
        <f t="shared" si="11"/>
        <v>0.65647543799381647</v>
      </c>
    </row>
    <row r="133" spans="1:7" ht="14" x14ac:dyDescent="0.15">
      <c r="A133" s="9" t="s">
        <v>57</v>
      </c>
      <c r="B133" s="9" t="s">
        <v>167</v>
      </c>
      <c r="C133" s="9">
        <v>0.1026</v>
      </c>
      <c r="D133">
        <f t="shared" si="8"/>
        <v>3.0779999999999998</v>
      </c>
      <c r="E133">
        <f t="shared" si="9"/>
        <v>2.9949999999999997</v>
      </c>
      <c r="F133" s="11">
        <f t="shared" si="10"/>
        <v>0.33388981636060105</v>
      </c>
      <c r="G133" s="12">
        <f t="shared" si="11"/>
        <v>0.666110183639399</v>
      </c>
    </row>
    <row r="134" spans="1:7" ht="14" x14ac:dyDescent="0.15">
      <c r="A134" s="9" t="s">
        <v>70</v>
      </c>
      <c r="B134" s="9" t="s">
        <v>168</v>
      </c>
      <c r="C134" s="9">
        <v>8.3000000000000004E-2</v>
      </c>
      <c r="D134">
        <f t="shared" si="8"/>
        <v>2.4900000000000002</v>
      </c>
      <c r="E134">
        <f t="shared" si="9"/>
        <v>2.407</v>
      </c>
      <c r="F134" s="11">
        <f t="shared" si="10"/>
        <v>0.41545492314083921</v>
      </c>
      <c r="G134" s="12">
        <f t="shared" si="11"/>
        <v>0.58454507685916079</v>
      </c>
    </row>
    <row r="135" spans="1:7" ht="14" x14ac:dyDescent="0.15">
      <c r="A135" s="9" t="s">
        <v>83</v>
      </c>
      <c r="B135" s="9" t="s">
        <v>169</v>
      </c>
      <c r="C135" s="9">
        <v>8.3199999999999996E-2</v>
      </c>
      <c r="D135">
        <f t="shared" si="8"/>
        <v>2.496</v>
      </c>
      <c r="E135">
        <f t="shared" si="9"/>
        <v>2.4129999999999998</v>
      </c>
      <c r="F135" s="11">
        <f t="shared" si="10"/>
        <v>0.41442188147534192</v>
      </c>
      <c r="G135" s="12">
        <f t="shared" si="11"/>
        <v>0.58557811852465802</v>
      </c>
    </row>
    <row r="136" spans="1:7" ht="14" x14ac:dyDescent="0.15">
      <c r="A136" s="9" t="s">
        <v>96</v>
      </c>
      <c r="B136" s="9" t="s">
        <v>170</v>
      </c>
      <c r="C136" s="9">
        <v>8.3500000000000005E-2</v>
      </c>
      <c r="D136">
        <f t="shared" si="8"/>
        <v>2.5050000000000003</v>
      </c>
      <c r="E136">
        <f t="shared" si="9"/>
        <v>2.4220000000000002</v>
      </c>
      <c r="F136" s="11">
        <f t="shared" si="10"/>
        <v>0.41288191577208916</v>
      </c>
      <c r="G136" s="12">
        <f t="shared" si="11"/>
        <v>0.5871180842279109</v>
      </c>
    </row>
    <row r="137" spans="1:7" ht="14" x14ac:dyDescent="0.15">
      <c r="A137" s="9" t="s">
        <v>109</v>
      </c>
      <c r="B137" s="9" t="s">
        <v>171</v>
      </c>
      <c r="C137" s="9">
        <v>8.3799999999999999E-2</v>
      </c>
      <c r="D137">
        <f t="shared" si="8"/>
        <v>2.5139999999999998</v>
      </c>
      <c r="E137">
        <f t="shared" si="9"/>
        <v>2.4309999999999996</v>
      </c>
      <c r="F137" s="11">
        <f t="shared" si="10"/>
        <v>0.41135335252982319</v>
      </c>
      <c r="G137" s="12">
        <f t="shared" si="11"/>
        <v>0.58864664747017681</v>
      </c>
    </row>
    <row r="138" spans="1:7" ht="14" x14ac:dyDescent="0.15">
      <c r="A138" s="9" t="s">
        <v>122</v>
      </c>
      <c r="B138" s="9" t="s">
        <v>172</v>
      </c>
      <c r="C138" s="9">
        <v>8.2699999999999996E-2</v>
      </c>
      <c r="D138">
        <f t="shared" si="8"/>
        <v>2.4809999999999999</v>
      </c>
      <c r="E138">
        <f t="shared" si="9"/>
        <v>2.3979999999999997</v>
      </c>
      <c r="F138" s="11">
        <f t="shared" si="10"/>
        <v>0.41701417848206845</v>
      </c>
      <c r="G138" s="12">
        <f t="shared" si="11"/>
        <v>0.58298582151793155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Lab</dc:creator>
  <cp:lastModifiedBy>Alberto Barron Sandoval</cp:lastModifiedBy>
  <dcterms:created xsi:type="dcterms:W3CDTF">2011-01-18T20:51:17Z</dcterms:created>
  <dcterms:modified xsi:type="dcterms:W3CDTF">2024-03-13T18:55:21Z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