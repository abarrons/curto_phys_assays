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Volumes/Untitled/"/>
    </mc:Choice>
  </mc:AlternateContent>
  <xr:revisionPtr revIDLastSave="0" documentId="13_ncr:1_{AC265C58-FAF2-8648-8ED3-AF593098601D}" xr6:coauthVersionLast="45" xr6:coauthVersionMax="45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definedNames>
    <definedName name="MethodPointer1">-579188896</definedName>
    <definedName name="MethodPointer2">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G2" i="1"/>
  <c r="E6" i="1"/>
  <c r="F6" i="1" s="1"/>
  <c r="G6" i="1" s="1"/>
  <c r="E11" i="1"/>
  <c r="F11" i="1" s="1"/>
  <c r="G11" i="1" s="1"/>
  <c r="E17" i="1"/>
  <c r="F17" i="1" s="1"/>
  <c r="G17" i="1" s="1"/>
  <c r="E22" i="1"/>
  <c r="F22" i="1" s="1"/>
  <c r="G22" i="1" s="1"/>
  <c r="E27" i="1"/>
  <c r="F27" i="1" s="1"/>
  <c r="G27" i="1" s="1"/>
  <c r="E33" i="1"/>
  <c r="F33" i="1" s="1"/>
  <c r="G33" i="1" s="1"/>
  <c r="E38" i="1"/>
  <c r="F38" i="1" s="1"/>
  <c r="G38" i="1" s="1"/>
  <c r="E43" i="1"/>
  <c r="F43" i="1" s="1"/>
  <c r="G43" i="1" s="1"/>
  <c r="E49" i="1"/>
  <c r="F49" i="1" s="1"/>
  <c r="G49" i="1" s="1"/>
  <c r="E54" i="1"/>
  <c r="F54" i="1" s="1"/>
  <c r="G54" i="1" s="1"/>
  <c r="E59" i="1"/>
  <c r="F59" i="1" s="1"/>
  <c r="G59" i="1" s="1"/>
  <c r="E65" i="1"/>
  <c r="F65" i="1" s="1"/>
  <c r="G65" i="1" s="1"/>
  <c r="E70" i="1"/>
  <c r="F70" i="1" s="1"/>
  <c r="G70" i="1" s="1"/>
  <c r="E75" i="1"/>
  <c r="F75" i="1" s="1"/>
  <c r="G75" i="1" s="1"/>
  <c r="E81" i="1"/>
  <c r="F81" i="1" s="1"/>
  <c r="G81" i="1" s="1"/>
  <c r="E86" i="1"/>
  <c r="F86" i="1" s="1"/>
  <c r="G86" i="1" s="1"/>
  <c r="E91" i="1"/>
  <c r="F91" i="1" s="1"/>
  <c r="G91" i="1" s="1"/>
  <c r="E97" i="1"/>
  <c r="F97" i="1" s="1"/>
  <c r="G97" i="1" s="1"/>
  <c r="E102" i="1"/>
  <c r="F102" i="1" s="1"/>
  <c r="G102" i="1" s="1"/>
  <c r="E107" i="1"/>
  <c r="F107" i="1" s="1"/>
  <c r="G107" i="1" s="1"/>
  <c r="D3" i="1"/>
  <c r="E3" i="1" s="1"/>
  <c r="F3" i="1" s="1"/>
  <c r="G3" i="1" s="1"/>
  <c r="D4" i="1"/>
  <c r="E4" i="1" s="1"/>
  <c r="F4" i="1" s="1"/>
  <c r="G4" i="1" s="1"/>
  <c r="D5" i="1"/>
  <c r="E5" i="1" s="1"/>
  <c r="F5" i="1" s="1"/>
  <c r="G5" i="1" s="1"/>
  <c r="D6" i="1"/>
  <c r="D7" i="1"/>
  <c r="E7" i="1" s="1"/>
  <c r="F7" i="1" s="1"/>
  <c r="G7" i="1" s="1"/>
  <c r="D8" i="1"/>
  <c r="E8" i="1" s="1"/>
  <c r="F8" i="1" s="1"/>
  <c r="G8" i="1" s="1"/>
  <c r="D9" i="1"/>
  <c r="E9" i="1" s="1"/>
  <c r="F9" i="1" s="1"/>
  <c r="G9" i="1" s="1"/>
  <c r="D10" i="1"/>
  <c r="E10" i="1" s="1"/>
  <c r="F10" i="1" s="1"/>
  <c r="G10" i="1" s="1"/>
  <c r="D11" i="1"/>
  <c r="D12" i="1"/>
  <c r="E12" i="1" s="1"/>
  <c r="F12" i="1" s="1"/>
  <c r="G12" i="1" s="1"/>
  <c r="D13" i="1"/>
  <c r="E13" i="1" s="1"/>
  <c r="F13" i="1" s="1"/>
  <c r="G13" i="1" s="1"/>
  <c r="D14" i="1"/>
  <c r="E14" i="1" s="1"/>
  <c r="F14" i="1" s="1"/>
  <c r="G14" i="1" s="1"/>
  <c r="D15" i="1"/>
  <c r="E15" i="1" s="1"/>
  <c r="F15" i="1" s="1"/>
  <c r="G15" i="1" s="1"/>
  <c r="D16" i="1"/>
  <c r="E16" i="1" s="1"/>
  <c r="F16" i="1" s="1"/>
  <c r="G16" i="1" s="1"/>
  <c r="D17" i="1"/>
  <c r="D18" i="1"/>
  <c r="E18" i="1" s="1"/>
  <c r="F18" i="1" s="1"/>
  <c r="G18" i="1" s="1"/>
  <c r="D19" i="1"/>
  <c r="E19" i="1" s="1"/>
  <c r="F19" i="1" s="1"/>
  <c r="G19" i="1" s="1"/>
  <c r="D20" i="1"/>
  <c r="E20" i="1" s="1"/>
  <c r="F20" i="1" s="1"/>
  <c r="G20" i="1" s="1"/>
  <c r="D21" i="1"/>
  <c r="E21" i="1" s="1"/>
  <c r="F21" i="1" s="1"/>
  <c r="G21" i="1" s="1"/>
  <c r="D22" i="1"/>
  <c r="D23" i="1"/>
  <c r="E23" i="1" s="1"/>
  <c r="F23" i="1" s="1"/>
  <c r="G23" i="1" s="1"/>
  <c r="D24" i="1"/>
  <c r="E24" i="1" s="1"/>
  <c r="F24" i="1" s="1"/>
  <c r="G24" i="1" s="1"/>
  <c r="D25" i="1"/>
  <c r="E25" i="1" s="1"/>
  <c r="F25" i="1" s="1"/>
  <c r="G25" i="1" s="1"/>
  <c r="D26" i="1"/>
  <c r="E26" i="1" s="1"/>
  <c r="F26" i="1" s="1"/>
  <c r="G26" i="1" s="1"/>
  <c r="D27" i="1"/>
  <c r="D28" i="1"/>
  <c r="E28" i="1" s="1"/>
  <c r="F28" i="1" s="1"/>
  <c r="G28" i="1" s="1"/>
  <c r="D29" i="1"/>
  <c r="E29" i="1" s="1"/>
  <c r="F29" i="1" s="1"/>
  <c r="G29" i="1" s="1"/>
  <c r="D30" i="1"/>
  <c r="E30" i="1" s="1"/>
  <c r="F30" i="1" s="1"/>
  <c r="G30" i="1" s="1"/>
  <c r="D31" i="1"/>
  <c r="E31" i="1" s="1"/>
  <c r="F31" i="1" s="1"/>
  <c r="G31" i="1" s="1"/>
  <c r="D32" i="1"/>
  <c r="E32" i="1" s="1"/>
  <c r="F32" i="1" s="1"/>
  <c r="G32" i="1" s="1"/>
  <c r="D33" i="1"/>
  <c r="D34" i="1"/>
  <c r="E34" i="1" s="1"/>
  <c r="F34" i="1" s="1"/>
  <c r="G34" i="1" s="1"/>
  <c r="D35" i="1"/>
  <c r="E35" i="1" s="1"/>
  <c r="F35" i="1" s="1"/>
  <c r="G35" i="1" s="1"/>
  <c r="D36" i="1"/>
  <c r="E36" i="1" s="1"/>
  <c r="F36" i="1" s="1"/>
  <c r="G36" i="1" s="1"/>
  <c r="D37" i="1"/>
  <c r="E37" i="1" s="1"/>
  <c r="F37" i="1" s="1"/>
  <c r="G37" i="1" s="1"/>
  <c r="D38" i="1"/>
  <c r="D39" i="1"/>
  <c r="E39" i="1" s="1"/>
  <c r="F39" i="1" s="1"/>
  <c r="G39" i="1" s="1"/>
  <c r="D40" i="1"/>
  <c r="E40" i="1" s="1"/>
  <c r="F40" i="1" s="1"/>
  <c r="G40" i="1" s="1"/>
  <c r="D41" i="1"/>
  <c r="E41" i="1" s="1"/>
  <c r="F41" i="1" s="1"/>
  <c r="G41" i="1" s="1"/>
  <c r="D42" i="1"/>
  <c r="E42" i="1" s="1"/>
  <c r="F42" i="1" s="1"/>
  <c r="G42" i="1" s="1"/>
  <c r="D43" i="1"/>
  <c r="D44" i="1"/>
  <c r="E44" i="1" s="1"/>
  <c r="F44" i="1" s="1"/>
  <c r="G44" i="1" s="1"/>
  <c r="D45" i="1"/>
  <c r="E45" i="1" s="1"/>
  <c r="F45" i="1" s="1"/>
  <c r="G45" i="1" s="1"/>
  <c r="D46" i="1"/>
  <c r="E46" i="1" s="1"/>
  <c r="F46" i="1" s="1"/>
  <c r="G46" i="1" s="1"/>
  <c r="D47" i="1"/>
  <c r="E47" i="1" s="1"/>
  <c r="F47" i="1" s="1"/>
  <c r="G47" i="1" s="1"/>
  <c r="D48" i="1"/>
  <c r="E48" i="1" s="1"/>
  <c r="F48" i="1" s="1"/>
  <c r="G48" i="1" s="1"/>
  <c r="D49" i="1"/>
  <c r="D50" i="1"/>
  <c r="E50" i="1" s="1"/>
  <c r="F50" i="1" s="1"/>
  <c r="G50" i="1" s="1"/>
  <c r="D51" i="1"/>
  <c r="E51" i="1" s="1"/>
  <c r="F51" i="1" s="1"/>
  <c r="G51" i="1" s="1"/>
  <c r="D52" i="1"/>
  <c r="E52" i="1" s="1"/>
  <c r="F52" i="1" s="1"/>
  <c r="G52" i="1" s="1"/>
  <c r="D53" i="1"/>
  <c r="E53" i="1" s="1"/>
  <c r="F53" i="1" s="1"/>
  <c r="G53" i="1" s="1"/>
  <c r="D54" i="1"/>
  <c r="D55" i="1"/>
  <c r="E55" i="1" s="1"/>
  <c r="F55" i="1" s="1"/>
  <c r="G55" i="1" s="1"/>
  <c r="D56" i="1"/>
  <c r="E56" i="1" s="1"/>
  <c r="F56" i="1" s="1"/>
  <c r="G56" i="1" s="1"/>
  <c r="D57" i="1"/>
  <c r="E57" i="1" s="1"/>
  <c r="F57" i="1" s="1"/>
  <c r="G57" i="1" s="1"/>
  <c r="D58" i="1"/>
  <c r="E58" i="1" s="1"/>
  <c r="F58" i="1" s="1"/>
  <c r="G58" i="1" s="1"/>
  <c r="D59" i="1"/>
  <c r="D60" i="1"/>
  <c r="E60" i="1" s="1"/>
  <c r="F60" i="1" s="1"/>
  <c r="G60" i="1" s="1"/>
  <c r="D61" i="1"/>
  <c r="E61" i="1" s="1"/>
  <c r="F61" i="1" s="1"/>
  <c r="G61" i="1" s="1"/>
  <c r="D62" i="1"/>
  <c r="E62" i="1" s="1"/>
  <c r="F62" i="1" s="1"/>
  <c r="G62" i="1" s="1"/>
  <c r="D63" i="1"/>
  <c r="E63" i="1" s="1"/>
  <c r="F63" i="1" s="1"/>
  <c r="G63" i="1" s="1"/>
  <c r="D64" i="1"/>
  <c r="E64" i="1" s="1"/>
  <c r="F64" i="1" s="1"/>
  <c r="G64" i="1" s="1"/>
  <c r="D65" i="1"/>
  <c r="D66" i="1"/>
  <c r="E66" i="1" s="1"/>
  <c r="F66" i="1" s="1"/>
  <c r="G66" i="1" s="1"/>
  <c r="D67" i="1"/>
  <c r="E67" i="1" s="1"/>
  <c r="F67" i="1" s="1"/>
  <c r="G67" i="1" s="1"/>
  <c r="D68" i="1"/>
  <c r="E68" i="1" s="1"/>
  <c r="F68" i="1" s="1"/>
  <c r="G68" i="1" s="1"/>
  <c r="D69" i="1"/>
  <c r="E69" i="1" s="1"/>
  <c r="F69" i="1" s="1"/>
  <c r="G69" i="1" s="1"/>
  <c r="D70" i="1"/>
  <c r="D71" i="1"/>
  <c r="E71" i="1" s="1"/>
  <c r="F71" i="1" s="1"/>
  <c r="G71" i="1" s="1"/>
  <c r="D72" i="1"/>
  <c r="E72" i="1" s="1"/>
  <c r="F72" i="1" s="1"/>
  <c r="G72" i="1" s="1"/>
  <c r="D73" i="1"/>
  <c r="E73" i="1" s="1"/>
  <c r="F73" i="1" s="1"/>
  <c r="G73" i="1" s="1"/>
  <c r="D74" i="1"/>
  <c r="E74" i="1" s="1"/>
  <c r="F74" i="1" s="1"/>
  <c r="G74" i="1" s="1"/>
  <c r="D75" i="1"/>
  <c r="D76" i="1"/>
  <c r="E76" i="1" s="1"/>
  <c r="F76" i="1" s="1"/>
  <c r="G76" i="1" s="1"/>
  <c r="D77" i="1"/>
  <c r="E77" i="1" s="1"/>
  <c r="F77" i="1" s="1"/>
  <c r="G77" i="1" s="1"/>
  <c r="D78" i="1"/>
  <c r="E78" i="1" s="1"/>
  <c r="F78" i="1" s="1"/>
  <c r="G78" i="1" s="1"/>
  <c r="D79" i="1"/>
  <c r="E79" i="1" s="1"/>
  <c r="F79" i="1" s="1"/>
  <c r="G79" i="1" s="1"/>
  <c r="D80" i="1"/>
  <c r="E80" i="1" s="1"/>
  <c r="F80" i="1" s="1"/>
  <c r="G80" i="1" s="1"/>
  <c r="D81" i="1"/>
  <c r="D82" i="1"/>
  <c r="E82" i="1" s="1"/>
  <c r="F82" i="1" s="1"/>
  <c r="G82" i="1" s="1"/>
  <c r="D83" i="1"/>
  <c r="E83" i="1" s="1"/>
  <c r="F83" i="1" s="1"/>
  <c r="G83" i="1" s="1"/>
  <c r="D84" i="1"/>
  <c r="E84" i="1" s="1"/>
  <c r="F84" i="1" s="1"/>
  <c r="G84" i="1" s="1"/>
  <c r="D85" i="1"/>
  <c r="E85" i="1" s="1"/>
  <c r="F85" i="1" s="1"/>
  <c r="G85" i="1" s="1"/>
  <c r="D86" i="1"/>
  <c r="D87" i="1"/>
  <c r="E87" i="1" s="1"/>
  <c r="F87" i="1" s="1"/>
  <c r="G87" i="1" s="1"/>
  <c r="D88" i="1"/>
  <c r="E88" i="1" s="1"/>
  <c r="F88" i="1" s="1"/>
  <c r="G88" i="1" s="1"/>
  <c r="D89" i="1"/>
  <c r="E89" i="1" s="1"/>
  <c r="F89" i="1" s="1"/>
  <c r="G89" i="1" s="1"/>
  <c r="D90" i="1"/>
  <c r="E90" i="1" s="1"/>
  <c r="F90" i="1" s="1"/>
  <c r="G90" i="1" s="1"/>
  <c r="D91" i="1"/>
  <c r="D92" i="1"/>
  <c r="E92" i="1" s="1"/>
  <c r="F92" i="1" s="1"/>
  <c r="G92" i="1" s="1"/>
  <c r="D93" i="1"/>
  <c r="E93" i="1" s="1"/>
  <c r="F93" i="1" s="1"/>
  <c r="G93" i="1" s="1"/>
  <c r="D94" i="1"/>
  <c r="E94" i="1" s="1"/>
  <c r="F94" i="1" s="1"/>
  <c r="G94" i="1" s="1"/>
  <c r="D95" i="1"/>
  <c r="E95" i="1" s="1"/>
  <c r="F95" i="1" s="1"/>
  <c r="G95" i="1" s="1"/>
  <c r="D96" i="1"/>
  <c r="E96" i="1" s="1"/>
  <c r="F96" i="1" s="1"/>
  <c r="G96" i="1" s="1"/>
  <c r="D97" i="1"/>
  <c r="D98" i="1"/>
  <c r="E98" i="1" s="1"/>
  <c r="F98" i="1" s="1"/>
  <c r="G98" i="1" s="1"/>
  <c r="D99" i="1"/>
  <c r="E99" i="1" s="1"/>
  <c r="F99" i="1" s="1"/>
  <c r="G99" i="1" s="1"/>
  <c r="D100" i="1"/>
  <c r="E100" i="1" s="1"/>
  <c r="F100" i="1" s="1"/>
  <c r="G100" i="1" s="1"/>
  <c r="D101" i="1"/>
  <c r="E101" i="1" s="1"/>
  <c r="F101" i="1" s="1"/>
  <c r="G101" i="1" s="1"/>
  <c r="D102" i="1"/>
  <c r="D103" i="1"/>
  <c r="E103" i="1" s="1"/>
  <c r="F103" i="1" s="1"/>
  <c r="G103" i="1" s="1"/>
  <c r="D104" i="1"/>
  <c r="E104" i="1" s="1"/>
  <c r="F104" i="1" s="1"/>
  <c r="G104" i="1" s="1"/>
  <c r="D105" i="1"/>
  <c r="E105" i="1" s="1"/>
  <c r="F105" i="1" s="1"/>
  <c r="G105" i="1" s="1"/>
  <c r="D106" i="1"/>
  <c r="E106" i="1" s="1"/>
  <c r="F106" i="1" s="1"/>
  <c r="G106" i="1" s="1"/>
  <c r="D107" i="1"/>
  <c r="D108" i="1"/>
  <c r="E108" i="1" s="1"/>
  <c r="F108" i="1" s="1"/>
  <c r="G108" i="1" s="1"/>
  <c r="D109" i="1"/>
  <c r="E109" i="1" s="1"/>
  <c r="F109" i="1" s="1"/>
  <c r="G109" i="1" s="1"/>
  <c r="D110" i="1"/>
  <c r="E110" i="1" s="1"/>
  <c r="F110" i="1" s="1"/>
  <c r="G110" i="1" s="1"/>
  <c r="D111" i="1"/>
  <c r="E111" i="1" s="1"/>
  <c r="F111" i="1" s="1"/>
  <c r="G111" i="1" s="1"/>
  <c r="D112" i="1"/>
  <c r="E112" i="1" s="1"/>
  <c r="F112" i="1" s="1"/>
  <c r="G112" i="1" s="1"/>
  <c r="D113" i="1"/>
  <c r="E113" i="1" s="1"/>
  <c r="F113" i="1" s="1"/>
  <c r="G113" i="1" s="1"/>
  <c r="D114" i="1"/>
  <c r="E114" i="1" s="1"/>
  <c r="F114" i="1" s="1"/>
  <c r="G114" i="1" s="1"/>
  <c r="D115" i="1"/>
  <c r="E115" i="1" s="1"/>
  <c r="F115" i="1" s="1"/>
  <c r="G115" i="1" s="1"/>
  <c r="D116" i="1"/>
  <c r="E116" i="1" s="1"/>
  <c r="F116" i="1" s="1"/>
  <c r="G116" i="1" s="1"/>
  <c r="D117" i="1"/>
  <c r="E117" i="1" s="1"/>
  <c r="F117" i="1" s="1"/>
  <c r="G117" i="1" s="1"/>
  <c r="D2" i="1"/>
  <c r="E2" i="1" s="1"/>
</calcChain>
</file>

<file path=xl/sharedStrings.xml><?xml version="1.0" encoding="utf-8"?>
<sst xmlns="http://schemas.openxmlformats.org/spreadsheetml/2006/main" count="238" uniqueCount="198">
  <si>
    <t>Well ID</t>
  </si>
  <si>
    <t>Well</t>
  </si>
  <si>
    <t>SPL1</t>
  </si>
  <si>
    <t>A1</t>
  </si>
  <si>
    <t>SPL2</t>
  </si>
  <si>
    <t>B1</t>
  </si>
  <si>
    <t>SPL3</t>
  </si>
  <si>
    <t>C1</t>
  </si>
  <si>
    <t>SPL4</t>
  </si>
  <si>
    <t>D1</t>
  </si>
  <si>
    <t>SPL5</t>
  </si>
  <si>
    <t>E1</t>
  </si>
  <si>
    <t>SPL6</t>
  </si>
  <si>
    <t>F1</t>
  </si>
  <si>
    <t>SPL7</t>
  </si>
  <si>
    <t>G1</t>
  </si>
  <si>
    <t>SPL8</t>
  </si>
  <si>
    <t>H1</t>
  </si>
  <si>
    <t>SPL9</t>
  </si>
  <si>
    <t>A2</t>
  </si>
  <si>
    <t>SPL10</t>
  </si>
  <si>
    <t>B2</t>
  </si>
  <si>
    <t>SPL11</t>
  </si>
  <si>
    <t>C2</t>
  </si>
  <si>
    <t>SPL12</t>
  </si>
  <si>
    <t>D2</t>
  </si>
  <si>
    <t>SPL13</t>
  </si>
  <si>
    <t>E2</t>
  </si>
  <si>
    <t>SPL14</t>
  </si>
  <si>
    <t>F2</t>
  </si>
  <si>
    <t>SPL15</t>
  </si>
  <si>
    <t>G2</t>
  </si>
  <si>
    <t>SPL16</t>
  </si>
  <si>
    <t>H2</t>
  </si>
  <si>
    <t>SPL17</t>
  </si>
  <si>
    <t>A3</t>
  </si>
  <si>
    <t>SPL18</t>
  </si>
  <si>
    <t>B3</t>
  </si>
  <si>
    <t>SPL19</t>
  </si>
  <si>
    <t>C3</t>
  </si>
  <si>
    <t>SPL20</t>
  </si>
  <si>
    <t>D3</t>
  </si>
  <si>
    <t>SPL21</t>
  </si>
  <si>
    <t>E3</t>
  </si>
  <si>
    <t>SPL22</t>
  </si>
  <si>
    <t>F3</t>
  </si>
  <si>
    <t>SPL23</t>
  </si>
  <si>
    <t>G3</t>
  </si>
  <si>
    <t>SPL24</t>
  </si>
  <si>
    <t>H3</t>
  </si>
  <si>
    <t>SPL25</t>
  </si>
  <si>
    <t>A4</t>
  </si>
  <si>
    <t>SPL26</t>
  </si>
  <si>
    <t>B4</t>
  </si>
  <si>
    <t>SPL27</t>
  </si>
  <si>
    <t>C4</t>
  </si>
  <si>
    <t>SPL28</t>
  </si>
  <si>
    <t>D4</t>
  </si>
  <si>
    <t>SPL29</t>
  </si>
  <si>
    <t>E4</t>
  </si>
  <si>
    <t>SPL30</t>
  </si>
  <si>
    <t>F4</t>
  </si>
  <si>
    <t>SPL31</t>
  </si>
  <si>
    <t>G4</t>
  </si>
  <si>
    <t>SPL32</t>
  </si>
  <si>
    <t>H4</t>
  </si>
  <si>
    <t>SPL33</t>
  </si>
  <si>
    <t>A5</t>
  </si>
  <si>
    <t>SPL34</t>
  </si>
  <si>
    <t>B5</t>
  </si>
  <si>
    <t>SPL35</t>
  </si>
  <si>
    <t>C5</t>
  </si>
  <si>
    <t>SPL36</t>
  </si>
  <si>
    <t>D5</t>
  </si>
  <si>
    <t>SPL37</t>
  </si>
  <si>
    <t>E5</t>
  </si>
  <si>
    <t>SPL38</t>
  </si>
  <si>
    <t>F5</t>
  </si>
  <si>
    <t>SPL39</t>
  </si>
  <si>
    <t>G5</t>
  </si>
  <si>
    <t>SPL40</t>
  </si>
  <si>
    <t>H5</t>
  </si>
  <si>
    <t>SPL41</t>
  </si>
  <si>
    <t>A6</t>
  </si>
  <si>
    <t>SPL42</t>
  </si>
  <si>
    <t>B6</t>
  </si>
  <si>
    <t>SPL43</t>
  </si>
  <si>
    <t>C6</t>
  </si>
  <si>
    <t>SPL44</t>
  </si>
  <si>
    <t>D6</t>
  </si>
  <si>
    <t>SPL45</t>
  </si>
  <si>
    <t>E6</t>
  </si>
  <si>
    <t>SPL46</t>
  </si>
  <si>
    <t>F6</t>
  </si>
  <si>
    <t>SPL47</t>
  </si>
  <si>
    <t>G6</t>
  </si>
  <si>
    <t>SPL48</t>
  </si>
  <si>
    <t>H6</t>
  </si>
  <si>
    <t>SPL49</t>
  </si>
  <si>
    <t>A7</t>
  </si>
  <si>
    <t>SPL50</t>
  </si>
  <si>
    <t>B7</t>
  </si>
  <si>
    <t>SPL51</t>
  </si>
  <si>
    <t>C7</t>
  </si>
  <si>
    <t>SPL52</t>
  </si>
  <si>
    <t>D7</t>
  </si>
  <si>
    <t>SPL53</t>
  </si>
  <si>
    <t>E7</t>
  </si>
  <si>
    <t>SPL54</t>
  </si>
  <si>
    <t>F7</t>
  </si>
  <si>
    <t>SPL55</t>
  </si>
  <si>
    <t>G7</t>
  </si>
  <si>
    <t>SPL56</t>
  </si>
  <si>
    <t>H7</t>
  </si>
  <si>
    <t>SPL57</t>
  </si>
  <si>
    <t>A8</t>
  </si>
  <si>
    <t>SPL58</t>
  </si>
  <si>
    <t>B8</t>
  </si>
  <si>
    <t>SPL59</t>
  </si>
  <si>
    <t>C8</t>
  </si>
  <si>
    <t>SPL60</t>
  </si>
  <si>
    <t>D8</t>
  </si>
  <si>
    <t>SPL61</t>
  </si>
  <si>
    <t>E8</t>
  </si>
  <si>
    <t>SPL62</t>
  </si>
  <si>
    <t>F8</t>
  </si>
  <si>
    <t>SPL63</t>
  </si>
  <si>
    <t>G8</t>
  </si>
  <si>
    <t>SPL64</t>
  </si>
  <si>
    <t>H8</t>
  </si>
  <si>
    <t>SPL65</t>
  </si>
  <si>
    <t>A9</t>
  </si>
  <si>
    <t>SPL66</t>
  </si>
  <si>
    <t>B9</t>
  </si>
  <si>
    <t>SPL67</t>
  </si>
  <si>
    <t>C9</t>
  </si>
  <si>
    <t>SPL68</t>
  </si>
  <si>
    <t>D9</t>
  </si>
  <si>
    <t>SPL69</t>
  </si>
  <si>
    <t>E9</t>
  </si>
  <si>
    <t>SPL70</t>
  </si>
  <si>
    <t>F9</t>
  </si>
  <si>
    <t>SPL71</t>
  </si>
  <si>
    <t>G9</t>
  </si>
  <si>
    <t>SPL72</t>
  </si>
  <si>
    <t>H9</t>
  </si>
  <si>
    <t>SPL73</t>
  </si>
  <si>
    <t>A10</t>
  </si>
  <si>
    <t>SPL74</t>
  </si>
  <si>
    <t>B10</t>
  </si>
  <si>
    <t>SPL75</t>
  </si>
  <si>
    <t>C10</t>
  </si>
  <si>
    <t>SPL76</t>
  </si>
  <si>
    <t>D10</t>
  </si>
  <si>
    <t>SPL77</t>
  </si>
  <si>
    <t>E10</t>
  </si>
  <si>
    <t>SPL78</t>
  </si>
  <si>
    <t>F10</t>
  </si>
  <si>
    <t>SPL79</t>
  </si>
  <si>
    <t>G10</t>
  </si>
  <si>
    <t>SPL80</t>
  </si>
  <si>
    <t>H10</t>
  </si>
  <si>
    <t>SPL81</t>
  </si>
  <si>
    <t>A11</t>
  </si>
  <si>
    <t>SPL82</t>
  </si>
  <si>
    <t>B11</t>
  </si>
  <si>
    <t>SPL83</t>
  </si>
  <si>
    <t>C11</t>
  </si>
  <si>
    <t>SPL84</t>
  </si>
  <si>
    <t>D11</t>
  </si>
  <si>
    <t>SPL85</t>
  </si>
  <si>
    <t>E11</t>
  </si>
  <si>
    <t>SPL86</t>
  </si>
  <si>
    <t>F11</t>
  </si>
  <si>
    <t>SPL87</t>
  </si>
  <si>
    <t>G11</t>
  </si>
  <si>
    <t>SPL88</t>
  </si>
  <si>
    <t>H11</t>
  </si>
  <si>
    <t>SPL89</t>
  </si>
  <si>
    <t>A12</t>
  </si>
  <si>
    <t>SPL90</t>
  </si>
  <si>
    <t>B12</t>
  </si>
  <si>
    <t>SPL91</t>
  </si>
  <si>
    <t>C12</t>
  </si>
  <si>
    <t>SPL92</t>
  </si>
  <si>
    <t>D12</t>
  </si>
  <si>
    <t>SPL93</t>
  </si>
  <si>
    <t>E12</t>
  </si>
  <si>
    <t>SPL94</t>
  </si>
  <si>
    <t>F12</t>
  </si>
  <si>
    <t>SPL95</t>
  </si>
  <si>
    <t>G12</t>
  </si>
  <si>
    <t>SPL96</t>
  </si>
  <si>
    <t>H12</t>
  </si>
  <si>
    <t>OD*DF</t>
  </si>
  <si>
    <t>OD-Clear</t>
  </si>
  <si>
    <t>Vol. Culture</t>
  </si>
  <si>
    <t>Vol.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</si>
</sst>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F2" sqref="F2:F117"/>
    </sheetView>
  </sheetViews>
  <sheetFormatPr baseColWidth="10" defaultColWidth="8.83203125" defaultRowHeight="13" x14ac:dyDescent="0.15"/>
  <cols>
    <col min="1" max="1" width="12.6640625" customWidth="1"/>
  </cols>
  <sheetData>
    <row r="1" spans="1:7" ht="28" x14ac:dyDescent="0.15">
      <c r="A1" s="1" t="s">
        <v>0</v>
      </c>
      <c r="B1" s="1" t="s">
        <v>1</v>
      </c>
      <c r="C1" s="1">
        <v>600</v>
      </c>
      <c r="D1" t="s">
        <v>194</v>
      </c>
      <c r="E1" t="s">
        <v>195</v>
      </c>
      <c r="F1" s="3" t="s">
        <v>196</v>
      </c>
      <c r="G1" s="3" t="s">
        <v>197</v>
      </c>
    </row>
    <row r="2" spans="1:7" ht="14" x14ac:dyDescent="0.15">
      <c r="A2" s="2" t="s">
        <v>2</v>
      </c>
      <c r="B2" s="2" t="s">
        <v>3</v>
      </c>
      <c r="C2" s="2">
        <v>8.5000000000000006E-2</v>
      </c>
      <c r="D2">
        <f>C2*30</f>
        <v>2.5500000000000003</v>
      </c>
      <c r="E2">
        <f>D2-0.08</f>
        <v>2.4700000000000002</v>
      </c>
      <c r="F2" s="5">
        <f>(1*1)/E2</f>
        <v>0.40485829959514169</v>
      </c>
      <c r="G2" s="4">
        <f>1-F2</f>
        <v>0.59514170040485825</v>
      </c>
    </row>
    <row r="3" spans="1:7" ht="14" x14ac:dyDescent="0.15">
      <c r="A3" s="2" t="s">
        <v>4</v>
      </c>
      <c r="B3" s="2" t="s">
        <v>5</v>
      </c>
      <c r="C3" s="2">
        <v>9.2999999999999999E-2</v>
      </c>
      <c r="D3">
        <f t="shared" ref="D3:D66" si="0">C3*30</f>
        <v>2.79</v>
      </c>
      <c r="E3">
        <f t="shared" ref="E3:E66" si="1">D3-0.08</f>
        <v>2.71</v>
      </c>
      <c r="F3" s="5">
        <f t="shared" ref="F3:F66" si="2">(1*1)/E3</f>
        <v>0.36900369003690037</v>
      </c>
      <c r="G3" s="4">
        <f t="shared" ref="G3:G66" si="3">1-F3</f>
        <v>0.63099630996309963</v>
      </c>
    </row>
    <row r="4" spans="1:7" ht="14" x14ac:dyDescent="0.15">
      <c r="A4" s="2" t="s">
        <v>6</v>
      </c>
      <c r="B4" s="2" t="s">
        <v>7</v>
      </c>
      <c r="C4" s="2">
        <v>9.0999999999999998E-2</v>
      </c>
      <c r="D4">
        <f t="shared" si="0"/>
        <v>2.73</v>
      </c>
      <c r="E4">
        <f t="shared" si="1"/>
        <v>2.65</v>
      </c>
      <c r="F4" s="5">
        <f t="shared" si="2"/>
        <v>0.37735849056603776</v>
      </c>
      <c r="G4" s="4">
        <f t="shared" si="3"/>
        <v>0.62264150943396224</v>
      </c>
    </row>
    <row r="5" spans="1:7" ht="14" x14ac:dyDescent="0.15">
      <c r="A5" s="2" t="s">
        <v>8</v>
      </c>
      <c r="B5" s="2" t="s">
        <v>9</v>
      </c>
      <c r="C5" s="2">
        <v>0.106</v>
      </c>
      <c r="D5">
        <f t="shared" si="0"/>
        <v>3.1799999999999997</v>
      </c>
      <c r="E5">
        <f t="shared" si="1"/>
        <v>3.0999999999999996</v>
      </c>
      <c r="F5" s="5">
        <f t="shared" si="2"/>
        <v>0.32258064516129037</v>
      </c>
      <c r="G5" s="4">
        <f t="shared" si="3"/>
        <v>0.67741935483870963</v>
      </c>
    </row>
    <row r="6" spans="1:7" ht="14" x14ac:dyDescent="0.15">
      <c r="A6" s="2" t="s">
        <v>10</v>
      </c>
      <c r="B6" s="2" t="s">
        <v>11</v>
      </c>
      <c r="C6" s="2">
        <v>9.5000000000000001E-2</v>
      </c>
      <c r="D6">
        <f t="shared" si="0"/>
        <v>2.85</v>
      </c>
      <c r="E6">
        <f t="shared" si="1"/>
        <v>2.77</v>
      </c>
      <c r="F6" s="5">
        <f t="shared" si="2"/>
        <v>0.36101083032490977</v>
      </c>
      <c r="G6" s="4">
        <f t="shared" si="3"/>
        <v>0.63898916967509023</v>
      </c>
    </row>
    <row r="7" spans="1:7" ht="14" x14ac:dyDescent="0.15">
      <c r="A7" s="2" t="s">
        <v>12</v>
      </c>
      <c r="B7" s="2" t="s">
        <v>13</v>
      </c>
      <c r="C7" s="2">
        <v>9.6000000000000002E-2</v>
      </c>
      <c r="D7">
        <f t="shared" si="0"/>
        <v>2.88</v>
      </c>
      <c r="E7">
        <f t="shared" si="1"/>
        <v>2.8</v>
      </c>
      <c r="F7" s="5">
        <f t="shared" si="2"/>
        <v>0.35714285714285715</v>
      </c>
      <c r="G7" s="4">
        <f t="shared" si="3"/>
        <v>0.64285714285714279</v>
      </c>
    </row>
    <row r="8" spans="1:7" ht="14" x14ac:dyDescent="0.15">
      <c r="A8" s="2" t="s">
        <v>14</v>
      </c>
      <c r="B8" s="2" t="s">
        <v>15</v>
      </c>
      <c r="C8" s="2">
        <v>0.105</v>
      </c>
      <c r="D8">
        <f t="shared" si="0"/>
        <v>3.15</v>
      </c>
      <c r="E8">
        <f t="shared" si="1"/>
        <v>3.07</v>
      </c>
      <c r="F8" s="5">
        <f t="shared" si="2"/>
        <v>0.32573289902280134</v>
      </c>
      <c r="G8" s="4">
        <f t="shared" si="3"/>
        <v>0.67426710097719866</v>
      </c>
    </row>
    <row r="9" spans="1:7" ht="14" x14ac:dyDescent="0.15">
      <c r="A9" s="2" t="s">
        <v>16</v>
      </c>
      <c r="B9" s="2" t="s">
        <v>17</v>
      </c>
      <c r="C9" s="2">
        <v>9.5000000000000001E-2</v>
      </c>
      <c r="D9">
        <f t="shared" si="0"/>
        <v>2.85</v>
      </c>
      <c r="E9">
        <f t="shared" si="1"/>
        <v>2.77</v>
      </c>
      <c r="F9" s="5">
        <f t="shared" si="2"/>
        <v>0.36101083032490977</v>
      </c>
      <c r="G9" s="4">
        <f t="shared" si="3"/>
        <v>0.63898916967509023</v>
      </c>
    </row>
    <row r="10" spans="1:7" ht="14" x14ac:dyDescent="0.15">
      <c r="A10" s="2" t="s">
        <v>18</v>
      </c>
      <c r="B10" s="2" t="s">
        <v>19</v>
      </c>
      <c r="C10" s="2">
        <v>8.7999999999999995E-2</v>
      </c>
      <c r="D10">
        <f t="shared" si="0"/>
        <v>2.6399999999999997</v>
      </c>
      <c r="E10">
        <f t="shared" si="1"/>
        <v>2.5599999999999996</v>
      </c>
      <c r="F10" s="5">
        <f t="shared" si="2"/>
        <v>0.39062500000000006</v>
      </c>
      <c r="G10" s="4">
        <f t="shared" si="3"/>
        <v>0.609375</v>
      </c>
    </row>
    <row r="11" spans="1:7" ht="14" x14ac:dyDescent="0.15">
      <c r="A11" s="2" t="s">
        <v>20</v>
      </c>
      <c r="B11" s="2" t="s">
        <v>21</v>
      </c>
      <c r="C11" s="2">
        <v>8.5999999999999993E-2</v>
      </c>
      <c r="D11">
        <f t="shared" si="0"/>
        <v>2.5799999999999996</v>
      </c>
      <c r="E11">
        <f t="shared" si="1"/>
        <v>2.4999999999999996</v>
      </c>
      <c r="F11" s="5">
        <f t="shared" si="2"/>
        <v>0.40000000000000008</v>
      </c>
      <c r="G11" s="4">
        <f t="shared" si="3"/>
        <v>0.59999999999999987</v>
      </c>
    </row>
    <row r="12" spans="1:7" ht="14" x14ac:dyDescent="0.15">
      <c r="A12" s="2" t="s">
        <v>22</v>
      </c>
      <c r="B12" s="2" t="s">
        <v>23</v>
      </c>
      <c r="C12" s="2">
        <v>8.7999999999999995E-2</v>
      </c>
      <c r="D12">
        <f t="shared" si="0"/>
        <v>2.6399999999999997</v>
      </c>
      <c r="E12">
        <f t="shared" si="1"/>
        <v>2.5599999999999996</v>
      </c>
      <c r="F12" s="5">
        <f t="shared" si="2"/>
        <v>0.39062500000000006</v>
      </c>
      <c r="G12" s="4">
        <f t="shared" si="3"/>
        <v>0.609375</v>
      </c>
    </row>
    <row r="13" spans="1:7" ht="14" x14ac:dyDescent="0.15">
      <c r="A13" s="2" t="s">
        <v>24</v>
      </c>
      <c r="B13" s="2" t="s">
        <v>25</v>
      </c>
      <c r="C13" s="2">
        <v>0.09</v>
      </c>
      <c r="D13">
        <f t="shared" si="0"/>
        <v>2.6999999999999997</v>
      </c>
      <c r="E13">
        <f t="shared" si="1"/>
        <v>2.6199999999999997</v>
      </c>
      <c r="F13" s="5">
        <f t="shared" si="2"/>
        <v>0.38167938931297712</v>
      </c>
      <c r="G13" s="4">
        <f t="shared" si="3"/>
        <v>0.61832061068702293</v>
      </c>
    </row>
    <row r="14" spans="1:7" ht="14" x14ac:dyDescent="0.15">
      <c r="A14" s="2" t="s">
        <v>26</v>
      </c>
      <c r="B14" s="2" t="s">
        <v>27</v>
      </c>
      <c r="C14" s="2">
        <v>0.10299999999999999</v>
      </c>
      <c r="D14">
        <f t="shared" si="0"/>
        <v>3.09</v>
      </c>
      <c r="E14">
        <f t="shared" si="1"/>
        <v>3.01</v>
      </c>
      <c r="F14" s="5">
        <f t="shared" si="2"/>
        <v>0.33222591362126247</v>
      </c>
      <c r="G14" s="4">
        <f t="shared" si="3"/>
        <v>0.66777408637873759</v>
      </c>
    </row>
    <row r="15" spans="1:7" ht="14" x14ac:dyDescent="0.15">
      <c r="A15" s="2" t="s">
        <v>28</v>
      </c>
      <c r="B15" s="2" t="s">
        <v>29</v>
      </c>
      <c r="C15" s="2">
        <v>8.5999999999999993E-2</v>
      </c>
      <c r="D15">
        <f t="shared" si="0"/>
        <v>2.5799999999999996</v>
      </c>
      <c r="E15">
        <f t="shared" si="1"/>
        <v>2.4999999999999996</v>
      </c>
      <c r="F15" s="5">
        <f t="shared" si="2"/>
        <v>0.40000000000000008</v>
      </c>
      <c r="G15" s="4">
        <f t="shared" si="3"/>
        <v>0.59999999999999987</v>
      </c>
    </row>
    <row r="16" spans="1:7" ht="14" x14ac:dyDescent="0.15">
      <c r="A16" s="2" t="s">
        <v>30</v>
      </c>
      <c r="B16" s="2" t="s">
        <v>31</v>
      </c>
      <c r="C16" s="2">
        <v>8.2000000000000003E-2</v>
      </c>
      <c r="D16">
        <f t="shared" si="0"/>
        <v>2.46</v>
      </c>
      <c r="E16">
        <f t="shared" si="1"/>
        <v>2.38</v>
      </c>
      <c r="F16" s="5">
        <f t="shared" si="2"/>
        <v>0.42016806722689076</v>
      </c>
      <c r="G16" s="4">
        <f t="shared" si="3"/>
        <v>0.57983193277310918</v>
      </c>
    </row>
    <row r="17" spans="1:7" ht="14" x14ac:dyDescent="0.15">
      <c r="A17" s="2" t="s">
        <v>32</v>
      </c>
      <c r="B17" s="2" t="s">
        <v>33</v>
      </c>
      <c r="C17" s="2">
        <v>8.6999999999999994E-2</v>
      </c>
      <c r="D17">
        <f t="shared" si="0"/>
        <v>2.61</v>
      </c>
      <c r="E17">
        <f t="shared" si="1"/>
        <v>2.5299999999999998</v>
      </c>
      <c r="F17" s="5">
        <f t="shared" si="2"/>
        <v>0.39525691699604748</v>
      </c>
      <c r="G17" s="4">
        <f t="shared" si="3"/>
        <v>0.60474308300395252</v>
      </c>
    </row>
    <row r="18" spans="1:7" ht="14" x14ac:dyDescent="0.15">
      <c r="A18" s="2" t="s">
        <v>34</v>
      </c>
      <c r="B18" s="2" t="s">
        <v>35</v>
      </c>
      <c r="C18" s="2">
        <v>9.0999999999999998E-2</v>
      </c>
      <c r="D18">
        <f t="shared" si="0"/>
        <v>2.73</v>
      </c>
      <c r="E18">
        <f t="shared" si="1"/>
        <v>2.65</v>
      </c>
      <c r="F18" s="5">
        <f t="shared" si="2"/>
        <v>0.37735849056603776</v>
      </c>
      <c r="G18" s="4">
        <f t="shared" si="3"/>
        <v>0.62264150943396224</v>
      </c>
    </row>
    <row r="19" spans="1:7" ht="14" x14ac:dyDescent="0.15">
      <c r="A19" s="2" t="s">
        <v>36</v>
      </c>
      <c r="B19" s="2" t="s">
        <v>37</v>
      </c>
      <c r="C19" s="2">
        <v>0.10100000000000001</v>
      </c>
      <c r="D19">
        <f t="shared" si="0"/>
        <v>3.0300000000000002</v>
      </c>
      <c r="E19">
        <f t="shared" si="1"/>
        <v>2.95</v>
      </c>
      <c r="F19" s="5">
        <f t="shared" si="2"/>
        <v>0.33898305084745761</v>
      </c>
      <c r="G19" s="4">
        <f t="shared" si="3"/>
        <v>0.66101694915254239</v>
      </c>
    </row>
    <row r="20" spans="1:7" ht="14" x14ac:dyDescent="0.15">
      <c r="A20" s="2" t="s">
        <v>38</v>
      </c>
      <c r="B20" s="2" t="s">
        <v>39</v>
      </c>
      <c r="C20" s="2">
        <v>8.1000000000000003E-2</v>
      </c>
      <c r="D20">
        <f t="shared" si="0"/>
        <v>2.4300000000000002</v>
      </c>
      <c r="E20">
        <f t="shared" si="1"/>
        <v>2.35</v>
      </c>
      <c r="F20" s="5">
        <f t="shared" si="2"/>
        <v>0.42553191489361702</v>
      </c>
      <c r="G20" s="4">
        <f t="shared" si="3"/>
        <v>0.57446808510638303</v>
      </c>
    </row>
    <row r="21" spans="1:7" ht="14" x14ac:dyDescent="0.15">
      <c r="A21" s="2" t="s">
        <v>40</v>
      </c>
      <c r="B21" s="2" t="s">
        <v>41</v>
      </c>
      <c r="C21" s="2">
        <v>0.104</v>
      </c>
      <c r="D21">
        <f t="shared" si="0"/>
        <v>3.1199999999999997</v>
      </c>
      <c r="E21">
        <f t="shared" si="1"/>
        <v>3.0399999999999996</v>
      </c>
      <c r="F21" s="5">
        <f t="shared" si="2"/>
        <v>0.32894736842105265</v>
      </c>
      <c r="G21" s="4">
        <f t="shared" si="3"/>
        <v>0.67105263157894735</v>
      </c>
    </row>
    <row r="22" spans="1:7" ht="14" x14ac:dyDescent="0.15">
      <c r="A22" s="2" t="s">
        <v>42</v>
      </c>
      <c r="B22" s="2" t="s">
        <v>43</v>
      </c>
      <c r="C22" s="2">
        <v>8.6999999999999994E-2</v>
      </c>
      <c r="D22">
        <f t="shared" si="0"/>
        <v>2.61</v>
      </c>
      <c r="E22">
        <f t="shared" si="1"/>
        <v>2.5299999999999998</v>
      </c>
      <c r="F22" s="5">
        <f t="shared" si="2"/>
        <v>0.39525691699604748</v>
      </c>
      <c r="G22" s="4">
        <f t="shared" si="3"/>
        <v>0.60474308300395252</v>
      </c>
    </row>
    <row r="23" spans="1:7" ht="14" x14ac:dyDescent="0.15">
      <c r="A23" s="2" t="s">
        <v>44</v>
      </c>
      <c r="B23" s="2" t="s">
        <v>45</v>
      </c>
      <c r="C23" s="2">
        <v>9.0999999999999998E-2</v>
      </c>
      <c r="D23">
        <f t="shared" si="0"/>
        <v>2.73</v>
      </c>
      <c r="E23">
        <f t="shared" si="1"/>
        <v>2.65</v>
      </c>
      <c r="F23" s="5">
        <f t="shared" si="2"/>
        <v>0.37735849056603776</v>
      </c>
      <c r="G23" s="4">
        <f t="shared" si="3"/>
        <v>0.62264150943396224</v>
      </c>
    </row>
    <row r="24" spans="1:7" ht="14" x14ac:dyDescent="0.15">
      <c r="A24" s="2" t="s">
        <v>46</v>
      </c>
      <c r="B24" s="2" t="s">
        <v>47</v>
      </c>
      <c r="C24" s="2">
        <v>8.7999999999999995E-2</v>
      </c>
      <c r="D24">
        <f t="shared" si="0"/>
        <v>2.6399999999999997</v>
      </c>
      <c r="E24">
        <f t="shared" si="1"/>
        <v>2.5599999999999996</v>
      </c>
      <c r="F24" s="5">
        <f t="shared" si="2"/>
        <v>0.39062500000000006</v>
      </c>
      <c r="G24" s="4">
        <f t="shared" si="3"/>
        <v>0.609375</v>
      </c>
    </row>
    <row r="25" spans="1:7" ht="14" x14ac:dyDescent="0.15">
      <c r="A25" s="2" t="s">
        <v>48</v>
      </c>
      <c r="B25" s="2" t="s">
        <v>49</v>
      </c>
      <c r="C25" s="2">
        <v>9.2999999999999999E-2</v>
      </c>
      <c r="D25">
        <f t="shared" si="0"/>
        <v>2.79</v>
      </c>
      <c r="E25">
        <f t="shared" si="1"/>
        <v>2.71</v>
      </c>
      <c r="F25" s="5">
        <f t="shared" si="2"/>
        <v>0.36900369003690037</v>
      </c>
      <c r="G25" s="4">
        <f t="shared" si="3"/>
        <v>0.63099630996309963</v>
      </c>
    </row>
    <row r="26" spans="1:7" ht="14" x14ac:dyDescent="0.15">
      <c r="A26" s="2" t="s">
        <v>50</v>
      </c>
      <c r="B26" s="2" t="s">
        <v>51</v>
      </c>
      <c r="C26" s="2">
        <v>8.3000000000000004E-2</v>
      </c>
      <c r="D26">
        <f t="shared" si="0"/>
        <v>2.4900000000000002</v>
      </c>
      <c r="E26">
        <f t="shared" si="1"/>
        <v>2.41</v>
      </c>
      <c r="F26" s="5">
        <f t="shared" si="2"/>
        <v>0.41493775933609955</v>
      </c>
      <c r="G26" s="4">
        <f t="shared" si="3"/>
        <v>0.58506224066390045</v>
      </c>
    </row>
    <row r="27" spans="1:7" ht="14" x14ac:dyDescent="0.15">
      <c r="A27" s="2" t="s">
        <v>52</v>
      </c>
      <c r="B27" s="2" t="s">
        <v>53</v>
      </c>
      <c r="C27" s="2">
        <v>0.08</v>
      </c>
      <c r="D27">
        <f t="shared" si="0"/>
        <v>2.4</v>
      </c>
      <c r="E27">
        <f t="shared" si="1"/>
        <v>2.3199999999999998</v>
      </c>
      <c r="F27" s="5">
        <f t="shared" si="2"/>
        <v>0.43103448275862072</v>
      </c>
      <c r="G27" s="4">
        <f t="shared" si="3"/>
        <v>0.56896551724137923</v>
      </c>
    </row>
    <row r="28" spans="1:7" ht="14" x14ac:dyDescent="0.15">
      <c r="A28" s="2" t="s">
        <v>54</v>
      </c>
      <c r="B28" s="2" t="s">
        <v>55</v>
      </c>
      <c r="C28" s="2">
        <v>8.3000000000000004E-2</v>
      </c>
      <c r="D28">
        <f t="shared" si="0"/>
        <v>2.4900000000000002</v>
      </c>
      <c r="E28">
        <f t="shared" si="1"/>
        <v>2.41</v>
      </c>
      <c r="F28" s="5">
        <f t="shared" si="2"/>
        <v>0.41493775933609955</v>
      </c>
      <c r="G28" s="4">
        <f t="shared" si="3"/>
        <v>0.58506224066390045</v>
      </c>
    </row>
    <row r="29" spans="1:7" ht="14" x14ac:dyDescent="0.15">
      <c r="A29" s="2" t="s">
        <v>56</v>
      </c>
      <c r="B29" s="2" t="s">
        <v>57</v>
      </c>
      <c r="C29" s="2">
        <v>9.7000000000000003E-2</v>
      </c>
      <c r="D29">
        <f t="shared" si="0"/>
        <v>2.91</v>
      </c>
      <c r="E29">
        <f t="shared" si="1"/>
        <v>2.83</v>
      </c>
      <c r="F29" s="5">
        <f t="shared" si="2"/>
        <v>0.35335689045936397</v>
      </c>
      <c r="G29" s="4">
        <f t="shared" si="3"/>
        <v>0.64664310954063597</v>
      </c>
    </row>
    <row r="30" spans="1:7" ht="14" x14ac:dyDescent="0.15">
      <c r="A30" s="2" t="s">
        <v>58</v>
      </c>
      <c r="B30" s="2" t="s">
        <v>59</v>
      </c>
      <c r="C30" s="2">
        <v>8.4000000000000005E-2</v>
      </c>
      <c r="D30">
        <f t="shared" si="0"/>
        <v>2.52</v>
      </c>
      <c r="E30">
        <f t="shared" si="1"/>
        <v>2.44</v>
      </c>
      <c r="F30" s="5">
        <f t="shared" si="2"/>
        <v>0.4098360655737705</v>
      </c>
      <c r="G30" s="4">
        <f t="shared" si="3"/>
        <v>0.5901639344262295</v>
      </c>
    </row>
    <row r="31" spans="1:7" ht="14" x14ac:dyDescent="0.15">
      <c r="A31" s="2" t="s">
        <v>60</v>
      </c>
      <c r="B31" s="2" t="s">
        <v>61</v>
      </c>
      <c r="C31" s="2">
        <v>9.0999999999999998E-2</v>
      </c>
      <c r="D31">
        <f t="shared" si="0"/>
        <v>2.73</v>
      </c>
      <c r="E31">
        <f t="shared" si="1"/>
        <v>2.65</v>
      </c>
      <c r="F31" s="5">
        <f t="shared" si="2"/>
        <v>0.37735849056603776</v>
      </c>
      <c r="G31" s="4">
        <f t="shared" si="3"/>
        <v>0.62264150943396224</v>
      </c>
    </row>
    <row r="32" spans="1:7" ht="14" x14ac:dyDescent="0.15">
      <c r="A32" s="2" t="s">
        <v>62</v>
      </c>
      <c r="B32" s="2" t="s">
        <v>63</v>
      </c>
      <c r="C32" s="2">
        <v>8.4000000000000005E-2</v>
      </c>
      <c r="D32">
        <f t="shared" si="0"/>
        <v>2.52</v>
      </c>
      <c r="E32">
        <f t="shared" si="1"/>
        <v>2.44</v>
      </c>
      <c r="F32" s="5">
        <f t="shared" si="2"/>
        <v>0.4098360655737705</v>
      </c>
      <c r="G32" s="4">
        <f t="shared" si="3"/>
        <v>0.5901639344262295</v>
      </c>
    </row>
    <row r="33" spans="1:7" ht="14" x14ac:dyDescent="0.15">
      <c r="A33" s="2" t="s">
        <v>64</v>
      </c>
      <c r="B33" s="2" t="s">
        <v>65</v>
      </c>
      <c r="C33" s="2">
        <v>9.2999999999999999E-2</v>
      </c>
      <c r="D33">
        <f t="shared" si="0"/>
        <v>2.79</v>
      </c>
      <c r="E33">
        <f t="shared" si="1"/>
        <v>2.71</v>
      </c>
      <c r="F33" s="5">
        <f t="shared" si="2"/>
        <v>0.36900369003690037</v>
      </c>
      <c r="G33" s="4">
        <f t="shared" si="3"/>
        <v>0.63099630996309963</v>
      </c>
    </row>
    <row r="34" spans="1:7" ht="14" x14ac:dyDescent="0.15">
      <c r="A34" s="2" t="s">
        <v>66</v>
      </c>
      <c r="B34" s="2" t="s">
        <v>67</v>
      </c>
      <c r="C34" s="2">
        <v>9.0999999999999998E-2</v>
      </c>
      <c r="D34">
        <f t="shared" si="0"/>
        <v>2.73</v>
      </c>
      <c r="E34">
        <f t="shared" si="1"/>
        <v>2.65</v>
      </c>
      <c r="F34" s="5">
        <f t="shared" si="2"/>
        <v>0.37735849056603776</v>
      </c>
      <c r="G34" s="4">
        <f t="shared" si="3"/>
        <v>0.62264150943396224</v>
      </c>
    </row>
    <row r="35" spans="1:7" ht="14" x14ac:dyDescent="0.15">
      <c r="A35" s="2" t="s">
        <v>68</v>
      </c>
      <c r="B35" s="2" t="s">
        <v>69</v>
      </c>
      <c r="C35" s="2">
        <v>8.8999999999999996E-2</v>
      </c>
      <c r="D35">
        <f t="shared" si="0"/>
        <v>2.67</v>
      </c>
      <c r="E35">
        <f t="shared" si="1"/>
        <v>2.59</v>
      </c>
      <c r="F35" s="5">
        <f t="shared" si="2"/>
        <v>0.38610038610038611</v>
      </c>
      <c r="G35" s="4">
        <f t="shared" si="3"/>
        <v>0.61389961389961389</v>
      </c>
    </row>
    <row r="36" spans="1:7" ht="14" x14ac:dyDescent="0.15">
      <c r="A36" s="2" t="s">
        <v>70</v>
      </c>
      <c r="B36" s="2" t="s">
        <v>71</v>
      </c>
      <c r="C36" s="2">
        <v>0.08</v>
      </c>
      <c r="D36">
        <f t="shared" si="0"/>
        <v>2.4</v>
      </c>
      <c r="E36">
        <f t="shared" si="1"/>
        <v>2.3199999999999998</v>
      </c>
      <c r="F36" s="5">
        <f t="shared" si="2"/>
        <v>0.43103448275862072</v>
      </c>
      <c r="G36" s="4">
        <f t="shared" si="3"/>
        <v>0.56896551724137923</v>
      </c>
    </row>
    <row r="37" spans="1:7" ht="14" x14ac:dyDescent="0.15">
      <c r="A37" s="2" t="s">
        <v>72</v>
      </c>
      <c r="B37" s="2" t="s">
        <v>73</v>
      </c>
      <c r="C37" s="2">
        <v>8.6999999999999994E-2</v>
      </c>
      <c r="D37">
        <f t="shared" si="0"/>
        <v>2.61</v>
      </c>
      <c r="E37">
        <f t="shared" si="1"/>
        <v>2.5299999999999998</v>
      </c>
      <c r="F37" s="5">
        <f t="shared" si="2"/>
        <v>0.39525691699604748</v>
      </c>
      <c r="G37" s="4">
        <f t="shared" si="3"/>
        <v>0.60474308300395252</v>
      </c>
    </row>
    <row r="38" spans="1:7" ht="14" x14ac:dyDescent="0.15">
      <c r="A38" s="2" t="s">
        <v>74</v>
      </c>
      <c r="B38" s="2" t="s">
        <v>75</v>
      </c>
      <c r="C38" s="2">
        <v>9.0999999999999998E-2</v>
      </c>
      <c r="D38">
        <f t="shared" si="0"/>
        <v>2.73</v>
      </c>
      <c r="E38">
        <f t="shared" si="1"/>
        <v>2.65</v>
      </c>
      <c r="F38" s="5">
        <f t="shared" si="2"/>
        <v>0.37735849056603776</v>
      </c>
      <c r="G38" s="4">
        <f t="shared" si="3"/>
        <v>0.62264150943396224</v>
      </c>
    </row>
    <row r="39" spans="1:7" ht="14" x14ac:dyDescent="0.15">
      <c r="A39" s="2" t="s">
        <v>76</v>
      </c>
      <c r="B39" s="2" t="s">
        <v>77</v>
      </c>
      <c r="C39" s="2">
        <v>8.8999999999999996E-2</v>
      </c>
      <c r="D39">
        <f t="shared" si="0"/>
        <v>2.67</v>
      </c>
      <c r="E39">
        <f t="shared" si="1"/>
        <v>2.59</v>
      </c>
      <c r="F39" s="5">
        <f t="shared" si="2"/>
        <v>0.38610038610038611</v>
      </c>
      <c r="G39" s="4">
        <f t="shared" si="3"/>
        <v>0.61389961389961389</v>
      </c>
    </row>
    <row r="40" spans="1:7" ht="14" x14ac:dyDescent="0.15">
      <c r="A40" s="2" t="s">
        <v>78</v>
      </c>
      <c r="B40" s="2" t="s">
        <v>79</v>
      </c>
      <c r="C40" s="2">
        <v>8.5999999999999993E-2</v>
      </c>
      <c r="D40">
        <f t="shared" si="0"/>
        <v>2.5799999999999996</v>
      </c>
      <c r="E40">
        <f t="shared" si="1"/>
        <v>2.4999999999999996</v>
      </c>
      <c r="F40" s="5">
        <f t="shared" si="2"/>
        <v>0.40000000000000008</v>
      </c>
      <c r="G40" s="4">
        <f t="shared" si="3"/>
        <v>0.59999999999999987</v>
      </c>
    </row>
    <row r="41" spans="1:7" ht="14" x14ac:dyDescent="0.15">
      <c r="A41" s="2" t="s">
        <v>80</v>
      </c>
      <c r="B41" s="2" t="s">
        <v>81</v>
      </c>
      <c r="C41" s="2">
        <v>8.3000000000000004E-2</v>
      </c>
      <c r="D41">
        <f t="shared" si="0"/>
        <v>2.4900000000000002</v>
      </c>
      <c r="E41">
        <f t="shared" si="1"/>
        <v>2.41</v>
      </c>
      <c r="F41" s="5">
        <f t="shared" si="2"/>
        <v>0.41493775933609955</v>
      </c>
      <c r="G41" s="4">
        <f t="shared" si="3"/>
        <v>0.58506224066390045</v>
      </c>
    </row>
    <row r="42" spans="1:7" ht="14" x14ac:dyDescent="0.15">
      <c r="A42" s="2" t="s">
        <v>82</v>
      </c>
      <c r="B42" s="2" t="s">
        <v>83</v>
      </c>
      <c r="C42" s="2">
        <v>8.3000000000000004E-2</v>
      </c>
      <c r="D42">
        <f t="shared" si="0"/>
        <v>2.4900000000000002</v>
      </c>
      <c r="E42">
        <f t="shared" si="1"/>
        <v>2.41</v>
      </c>
      <c r="F42" s="5">
        <f t="shared" si="2"/>
        <v>0.41493775933609955</v>
      </c>
      <c r="G42" s="4">
        <f t="shared" si="3"/>
        <v>0.58506224066390045</v>
      </c>
    </row>
    <row r="43" spans="1:7" ht="14" x14ac:dyDescent="0.15">
      <c r="A43" s="2" t="s">
        <v>84</v>
      </c>
      <c r="B43" s="2" t="s">
        <v>85</v>
      </c>
      <c r="C43" s="2">
        <v>0.10299999999999999</v>
      </c>
      <c r="D43">
        <f t="shared" si="0"/>
        <v>3.09</v>
      </c>
      <c r="E43">
        <f t="shared" si="1"/>
        <v>3.01</v>
      </c>
      <c r="F43" s="5">
        <f t="shared" si="2"/>
        <v>0.33222591362126247</v>
      </c>
      <c r="G43" s="4">
        <f t="shared" si="3"/>
        <v>0.66777408637873759</v>
      </c>
    </row>
    <row r="44" spans="1:7" ht="14" x14ac:dyDescent="0.15">
      <c r="A44" s="2" t="s">
        <v>86</v>
      </c>
      <c r="B44" s="2" t="s">
        <v>87</v>
      </c>
      <c r="C44" s="2">
        <v>8.2000000000000003E-2</v>
      </c>
      <c r="D44">
        <f t="shared" si="0"/>
        <v>2.46</v>
      </c>
      <c r="E44">
        <f t="shared" si="1"/>
        <v>2.38</v>
      </c>
      <c r="F44" s="5">
        <f t="shared" si="2"/>
        <v>0.42016806722689076</v>
      </c>
      <c r="G44" s="4">
        <f t="shared" si="3"/>
        <v>0.57983193277310918</v>
      </c>
    </row>
    <row r="45" spans="1:7" ht="14" x14ac:dyDescent="0.15">
      <c r="A45" s="2" t="s">
        <v>88</v>
      </c>
      <c r="B45" s="2" t="s">
        <v>89</v>
      </c>
      <c r="C45" s="2">
        <v>9.2999999999999999E-2</v>
      </c>
      <c r="D45">
        <f t="shared" si="0"/>
        <v>2.79</v>
      </c>
      <c r="E45">
        <f t="shared" si="1"/>
        <v>2.71</v>
      </c>
      <c r="F45" s="5">
        <f t="shared" si="2"/>
        <v>0.36900369003690037</v>
      </c>
      <c r="G45" s="4">
        <f t="shared" si="3"/>
        <v>0.63099630996309963</v>
      </c>
    </row>
    <row r="46" spans="1:7" ht="14" x14ac:dyDescent="0.15">
      <c r="A46" s="2" t="s">
        <v>90</v>
      </c>
      <c r="B46" s="2" t="s">
        <v>91</v>
      </c>
      <c r="C46" s="2">
        <v>8.2000000000000003E-2</v>
      </c>
      <c r="D46">
        <f t="shared" si="0"/>
        <v>2.46</v>
      </c>
      <c r="E46">
        <f t="shared" si="1"/>
        <v>2.38</v>
      </c>
      <c r="F46" s="5">
        <f t="shared" si="2"/>
        <v>0.42016806722689076</v>
      </c>
      <c r="G46" s="4">
        <f t="shared" si="3"/>
        <v>0.57983193277310918</v>
      </c>
    </row>
    <row r="47" spans="1:7" ht="14" x14ac:dyDescent="0.15">
      <c r="A47" s="2" t="s">
        <v>92</v>
      </c>
      <c r="B47" s="2" t="s">
        <v>93</v>
      </c>
      <c r="C47" s="2">
        <v>8.7999999999999995E-2</v>
      </c>
      <c r="D47">
        <f t="shared" si="0"/>
        <v>2.6399999999999997</v>
      </c>
      <c r="E47">
        <f t="shared" si="1"/>
        <v>2.5599999999999996</v>
      </c>
      <c r="F47" s="5">
        <f t="shared" si="2"/>
        <v>0.39062500000000006</v>
      </c>
      <c r="G47" s="4">
        <f t="shared" si="3"/>
        <v>0.609375</v>
      </c>
    </row>
    <row r="48" spans="1:7" ht="14" x14ac:dyDescent="0.15">
      <c r="A48" s="2" t="s">
        <v>94</v>
      </c>
      <c r="B48" s="2" t="s">
        <v>95</v>
      </c>
      <c r="C48" s="2">
        <v>8.5000000000000006E-2</v>
      </c>
      <c r="D48">
        <f t="shared" si="0"/>
        <v>2.5500000000000003</v>
      </c>
      <c r="E48">
        <f t="shared" si="1"/>
        <v>2.4700000000000002</v>
      </c>
      <c r="F48" s="5">
        <f t="shared" si="2"/>
        <v>0.40485829959514169</v>
      </c>
      <c r="G48" s="4">
        <f t="shared" si="3"/>
        <v>0.59514170040485825</v>
      </c>
    </row>
    <row r="49" spans="1:7" ht="14" x14ac:dyDescent="0.15">
      <c r="A49" s="2" t="s">
        <v>96</v>
      </c>
      <c r="B49" s="2" t="s">
        <v>97</v>
      </c>
      <c r="C49" s="2">
        <v>9.4E-2</v>
      </c>
      <c r="D49">
        <f t="shared" si="0"/>
        <v>2.82</v>
      </c>
      <c r="E49">
        <f t="shared" si="1"/>
        <v>2.7399999999999998</v>
      </c>
      <c r="F49" s="5">
        <f t="shared" si="2"/>
        <v>0.36496350364963509</v>
      </c>
      <c r="G49" s="4">
        <f t="shared" si="3"/>
        <v>0.63503649635036497</v>
      </c>
    </row>
    <row r="50" spans="1:7" ht="14" x14ac:dyDescent="0.15">
      <c r="A50" s="2" t="s">
        <v>98</v>
      </c>
      <c r="B50" s="2" t="s">
        <v>99</v>
      </c>
      <c r="C50" s="2">
        <v>9.6000000000000002E-2</v>
      </c>
      <c r="D50">
        <f t="shared" si="0"/>
        <v>2.88</v>
      </c>
      <c r="E50">
        <f t="shared" si="1"/>
        <v>2.8</v>
      </c>
      <c r="F50" s="5">
        <f t="shared" si="2"/>
        <v>0.35714285714285715</v>
      </c>
      <c r="G50" s="4">
        <f t="shared" si="3"/>
        <v>0.64285714285714279</v>
      </c>
    </row>
    <row r="51" spans="1:7" ht="14" x14ac:dyDescent="0.15">
      <c r="A51" s="2" t="s">
        <v>100</v>
      </c>
      <c r="B51" s="2" t="s">
        <v>101</v>
      </c>
      <c r="C51" s="2">
        <v>8.2000000000000003E-2</v>
      </c>
      <c r="D51">
        <f t="shared" si="0"/>
        <v>2.46</v>
      </c>
      <c r="E51">
        <f t="shared" si="1"/>
        <v>2.38</v>
      </c>
      <c r="F51" s="5">
        <f t="shared" si="2"/>
        <v>0.42016806722689076</v>
      </c>
      <c r="G51" s="4">
        <f t="shared" si="3"/>
        <v>0.57983193277310918</v>
      </c>
    </row>
    <row r="52" spans="1:7" ht="14" x14ac:dyDescent="0.15">
      <c r="A52" s="2" t="s">
        <v>102</v>
      </c>
      <c r="B52" s="2" t="s">
        <v>103</v>
      </c>
      <c r="C52" s="2">
        <v>0.08</v>
      </c>
      <c r="D52">
        <f t="shared" si="0"/>
        <v>2.4</v>
      </c>
      <c r="E52">
        <f t="shared" si="1"/>
        <v>2.3199999999999998</v>
      </c>
      <c r="F52" s="5">
        <f t="shared" si="2"/>
        <v>0.43103448275862072</v>
      </c>
      <c r="G52" s="4">
        <f t="shared" si="3"/>
        <v>0.56896551724137923</v>
      </c>
    </row>
    <row r="53" spans="1:7" ht="14" x14ac:dyDescent="0.15">
      <c r="A53" s="2" t="s">
        <v>104</v>
      </c>
      <c r="B53" s="2" t="s">
        <v>105</v>
      </c>
      <c r="C53" s="2">
        <v>8.6999999999999994E-2</v>
      </c>
      <c r="D53">
        <f t="shared" si="0"/>
        <v>2.61</v>
      </c>
      <c r="E53">
        <f t="shared" si="1"/>
        <v>2.5299999999999998</v>
      </c>
      <c r="F53" s="5">
        <f t="shared" si="2"/>
        <v>0.39525691699604748</v>
      </c>
      <c r="G53" s="4">
        <f t="shared" si="3"/>
        <v>0.60474308300395252</v>
      </c>
    </row>
    <row r="54" spans="1:7" ht="14" x14ac:dyDescent="0.15">
      <c r="A54" s="2" t="s">
        <v>106</v>
      </c>
      <c r="B54" s="2" t="s">
        <v>107</v>
      </c>
      <c r="C54" s="2">
        <v>8.5000000000000006E-2</v>
      </c>
      <c r="D54">
        <f t="shared" si="0"/>
        <v>2.5500000000000003</v>
      </c>
      <c r="E54">
        <f t="shared" si="1"/>
        <v>2.4700000000000002</v>
      </c>
      <c r="F54" s="5">
        <f t="shared" si="2"/>
        <v>0.40485829959514169</v>
      </c>
      <c r="G54" s="4">
        <f t="shared" si="3"/>
        <v>0.59514170040485825</v>
      </c>
    </row>
    <row r="55" spans="1:7" ht="14" x14ac:dyDescent="0.15">
      <c r="A55" s="2" t="s">
        <v>108</v>
      </c>
      <c r="B55" s="2" t="s">
        <v>109</v>
      </c>
      <c r="C55" s="2">
        <v>8.6999999999999994E-2</v>
      </c>
      <c r="D55">
        <f t="shared" si="0"/>
        <v>2.61</v>
      </c>
      <c r="E55">
        <f t="shared" si="1"/>
        <v>2.5299999999999998</v>
      </c>
      <c r="F55" s="5">
        <f t="shared" si="2"/>
        <v>0.39525691699604748</v>
      </c>
      <c r="G55" s="4">
        <f t="shared" si="3"/>
        <v>0.60474308300395252</v>
      </c>
    </row>
    <row r="56" spans="1:7" ht="14" x14ac:dyDescent="0.15">
      <c r="A56" s="2" t="s">
        <v>110</v>
      </c>
      <c r="B56" s="2" t="s">
        <v>111</v>
      </c>
      <c r="C56" s="2">
        <v>8.6999999999999994E-2</v>
      </c>
      <c r="D56">
        <f t="shared" si="0"/>
        <v>2.61</v>
      </c>
      <c r="E56">
        <f t="shared" si="1"/>
        <v>2.5299999999999998</v>
      </c>
      <c r="F56" s="5">
        <f t="shared" si="2"/>
        <v>0.39525691699604748</v>
      </c>
      <c r="G56" s="4">
        <f t="shared" si="3"/>
        <v>0.60474308300395252</v>
      </c>
    </row>
    <row r="57" spans="1:7" ht="14" x14ac:dyDescent="0.15">
      <c r="A57" s="2" t="s">
        <v>112</v>
      </c>
      <c r="B57" s="2" t="s">
        <v>113</v>
      </c>
      <c r="C57" s="2">
        <v>9.4E-2</v>
      </c>
      <c r="D57">
        <f t="shared" si="0"/>
        <v>2.82</v>
      </c>
      <c r="E57">
        <f t="shared" si="1"/>
        <v>2.7399999999999998</v>
      </c>
      <c r="F57" s="5">
        <f t="shared" si="2"/>
        <v>0.36496350364963509</v>
      </c>
      <c r="G57" s="4">
        <f t="shared" si="3"/>
        <v>0.63503649635036497</v>
      </c>
    </row>
    <row r="58" spans="1:7" ht="14" x14ac:dyDescent="0.15">
      <c r="A58" s="2" t="s">
        <v>114</v>
      </c>
      <c r="B58" s="2" t="s">
        <v>115</v>
      </c>
      <c r="C58" s="2">
        <v>8.1000000000000003E-2</v>
      </c>
      <c r="D58">
        <f t="shared" si="0"/>
        <v>2.4300000000000002</v>
      </c>
      <c r="E58">
        <f t="shared" si="1"/>
        <v>2.35</v>
      </c>
      <c r="F58" s="5">
        <f t="shared" si="2"/>
        <v>0.42553191489361702</v>
      </c>
      <c r="G58" s="4">
        <f t="shared" si="3"/>
        <v>0.57446808510638303</v>
      </c>
    </row>
    <row r="59" spans="1:7" ht="14" x14ac:dyDescent="0.15">
      <c r="A59" s="2" t="s">
        <v>116</v>
      </c>
      <c r="B59" s="2" t="s">
        <v>117</v>
      </c>
      <c r="C59" s="2">
        <v>8.3000000000000004E-2</v>
      </c>
      <c r="D59">
        <f t="shared" si="0"/>
        <v>2.4900000000000002</v>
      </c>
      <c r="E59">
        <f t="shared" si="1"/>
        <v>2.41</v>
      </c>
      <c r="F59" s="5">
        <f t="shared" si="2"/>
        <v>0.41493775933609955</v>
      </c>
      <c r="G59" s="4">
        <f t="shared" si="3"/>
        <v>0.58506224066390045</v>
      </c>
    </row>
    <row r="60" spans="1:7" ht="14" x14ac:dyDescent="0.15">
      <c r="A60" s="2" t="s">
        <v>118</v>
      </c>
      <c r="B60" s="2" t="s">
        <v>119</v>
      </c>
      <c r="C60" s="2">
        <v>8.5000000000000006E-2</v>
      </c>
      <c r="D60">
        <f t="shared" si="0"/>
        <v>2.5500000000000003</v>
      </c>
      <c r="E60">
        <f t="shared" si="1"/>
        <v>2.4700000000000002</v>
      </c>
      <c r="F60" s="5">
        <f t="shared" si="2"/>
        <v>0.40485829959514169</v>
      </c>
      <c r="G60" s="4">
        <f t="shared" si="3"/>
        <v>0.59514170040485825</v>
      </c>
    </row>
    <row r="61" spans="1:7" ht="14" x14ac:dyDescent="0.15">
      <c r="A61" s="2" t="s">
        <v>120</v>
      </c>
      <c r="B61" s="2" t="s">
        <v>121</v>
      </c>
      <c r="C61" s="2">
        <v>8.5999999999999993E-2</v>
      </c>
      <c r="D61">
        <f t="shared" si="0"/>
        <v>2.5799999999999996</v>
      </c>
      <c r="E61">
        <f t="shared" si="1"/>
        <v>2.4999999999999996</v>
      </c>
      <c r="F61" s="5">
        <f t="shared" si="2"/>
        <v>0.40000000000000008</v>
      </c>
      <c r="G61" s="4">
        <f t="shared" si="3"/>
        <v>0.59999999999999987</v>
      </c>
    </row>
    <row r="62" spans="1:7" ht="14" x14ac:dyDescent="0.15">
      <c r="A62" s="2" t="s">
        <v>122</v>
      </c>
      <c r="B62" s="2" t="s">
        <v>123</v>
      </c>
      <c r="C62" s="2">
        <v>8.3000000000000004E-2</v>
      </c>
      <c r="D62">
        <f t="shared" si="0"/>
        <v>2.4900000000000002</v>
      </c>
      <c r="E62">
        <f t="shared" si="1"/>
        <v>2.41</v>
      </c>
      <c r="F62" s="5">
        <f t="shared" si="2"/>
        <v>0.41493775933609955</v>
      </c>
      <c r="G62" s="4">
        <f t="shared" si="3"/>
        <v>0.58506224066390045</v>
      </c>
    </row>
    <row r="63" spans="1:7" ht="14" x14ac:dyDescent="0.15">
      <c r="A63" s="2" t="s">
        <v>124</v>
      </c>
      <c r="B63" s="2" t="s">
        <v>125</v>
      </c>
      <c r="C63" s="2">
        <v>8.5000000000000006E-2</v>
      </c>
      <c r="D63">
        <f t="shared" si="0"/>
        <v>2.5500000000000003</v>
      </c>
      <c r="E63">
        <f t="shared" si="1"/>
        <v>2.4700000000000002</v>
      </c>
      <c r="F63" s="5">
        <f t="shared" si="2"/>
        <v>0.40485829959514169</v>
      </c>
      <c r="G63" s="4">
        <f t="shared" si="3"/>
        <v>0.59514170040485825</v>
      </c>
    </row>
    <row r="64" spans="1:7" ht="14" x14ac:dyDescent="0.15">
      <c r="A64" s="2" t="s">
        <v>126</v>
      </c>
      <c r="B64" s="2" t="s">
        <v>127</v>
      </c>
      <c r="C64" s="2">
        <v>8.5999999999999993E-2</v>
      </c>
      <c r="D64">
        <f t="shared" si="0"/>
        <v>2.5799999999999996</v>
      </c>
      <c r="E64">
        <f t="shared" si="1"/>
        <v>2.4999999999999996</v>
      </c>
      <c r="F64" s="5">
        <f t="shared" si="2"/>
        <v>0.40000000000000008</v>
      </c>
      <c r="G64" s="4">
        <f t="shared" si="3"/>
        <v>0.59999999999999987</v>
      </c>
    </row>
    <row r="65" spans="1:7" ht="14" x14ac:dyDescent="0.15">
      <c r="A65" s="2" t="s">
        <v>128</v>
      </c>
      <c r="B65" s="2" t="s">
        <v>129</v>
      </c>
      <c r="C65" s="2">
        <v>8.6999999999999994E-2</v>
      </c>
      <c r="D65">
        <f t="shared" si="0"/>
        <v>2.61</v>
      </c>
      <c r="E65">
        <f t="shared" si="1"/>
        <v>2.5299999999999998</v>
      </c>
      <c r="F65" s="5">
        <f t="shared" si="2"/>
        <v>0.39525691699604748</v>
      </c>
      <c r="G65" s="4">
        <f t="shared" si="3"/>
        <v>0.60474308300395252</v>
      </c>
    </row>
    <row r="66" spans="1:7" ht="14" x14ac:dyDescent="0.15">
      <c r="A66" s="2" t="s">
        <v>130</v>
      </c>
      <c r="B66" s="2" t="s">
        <v>131</v>
      </c>
      <c r="C66" s="2">
        <v>8.6999999999999994E-2</v>
      </c>
      <c r="D66">
        <f t="shared" si="0"/>
        <v>2.61</v>
      </c>
      <c r="E66">
        <f t="shared" si="1"/>
        <v>2.5299999999999998</v>
      </c>
      <c r="F66" s="5">
        <f t="shared" si="2"/>
        <v>0.39525691699604748</v>
      </c>
      <c r="G66" s="4">
        <f t="shared" si="3"/>
        <v>0.60474308300395252</v>
      </c>
    </row>
    <row r="67" spans="1:7" ht="14" x14ac:dyDescent="0.15">
      <c r="A67" s="2" t="s">
        <v>132</v>
      </c>
      <c r="B67" s="2" t="s">
        <v>133</v>
      </c>
      <c r="C67" s="2">
        <v>0.09</v>
      </c>
      <c r="D67">
        <f t="shared" ref="D67:D117" si="4">C67*30</f>
        <v>2.6999999999999997</v>
      </c>
      <c r="E67">
        <f t="shared" ref="E67:E117" si="5">D67-0.08</f>
        <v>2.6199999999999997</v>
      </c>
      <c r="F67" s="5">
        <f t="shared" ref="F67:F117" si="6">(1*1)/E67</f>
        <v>0.38167938931297712</v>
      </c>
      <c r="G67" s="4">
        <f t="shared" ref="G67:G117" si="7">1-F67</f>
        <v>0.61832061068702293</v>
      </c>
    </row>
    <row r="68" spans="1:7" ht="14" x14ac:dyDescent="0.15">
      <c r="A68" s="2" t="s">
        <v>134</v>
      </c>
      <c r="B68" s="2" t="s">
        <v>135</v>
      </c>
      <c r="C68" s="2">
        <v>0.08</v>
      </c>
      <c r="D68">
        <f t="shared" si="4"/>
        <v>2.4</v>
      </c>
      <c r="E68">
        <f t="shared" si="5"/>
        <v>2.3199999999999998</v>
      </c>
      <c r="F68" s="5">
        <f t="shared" si="6"/>
        <v>0.43103448275862072</v>
      </c>
      <c r="G68" s="4">
        <f t="shared" si="7"/>
        <v>0.56896551724137923</v>
      </c>
    </row>
    <row r="69" spans="1:7" ht="14" x14ac:dyDescent="0.15">
      <c r="A69" s="2" t="s">
        <v>136</v>
      </c>
      <c r="B69" s="2" t="s">
        <v>137</v>
      </c>
      <c r="C69" s="2">
        <v>0.09</v>
      </c>
      <c r="D69">
        <f t="shared" si="4"/>
        <v>2.6999999999999997</v>
      </c>
      <c r="E69">
        <f t="shared" si="5"/>
        <v>2.6199999999999997</v>
      </c>
      <c r="F69" s="5">
        <f t="shared" si="6"/>
        <v>0.38167938931297712</v>
      </c>
      <c r="G69" s="4">
        <f t="shared" si="7"/>
        <v>0.61832061068702293</v>
      </c>
    </row>
    <row r="70" spans="1:7" ht="14" x14ac:dyDescent="0.15">
      <c r="A70" s="2" t="s">
        <v>138</v>
      </c>
      <c r="B70" s="2" t="s">
        <v>139</v>
      </c>
      <c r="C70" s="2">
        <v>8.2000000000000003E-2</v>
      </c>
      <c r="D70">
        <f t="shared" si="4"/>
        <v>2.46</v>
      </c>
      <c r="E70">
        <f t="shared" si="5"/>
        <v>2.38</v>
      </c>
      <c r="F70" s="5">
        <f t="shared" si="6"/>
        <v>0.42016806722689076</v>
      </c>
      <c r="G70" s="4">
        <f t="shared" si="7"/>
        <v>0.57983193277310918</v>
      </c>
    </row>
    <row r="71" spans="1:7" ht="14" x14ac:dyDescent="0.15">
      <c r="A71" s="2" t="s">
        <v>140</v>
      </c>
      <c r="B71" s="2" t="s">
        <v>141</v>
      </c>
      <c r="C71" s="2">
        <v>8.5999999999999993E-2</v>
      </c>
      <c r="D71">
        <f t="shared" si="4"/>
        <v>2.5799999999999996</v>
      </c>
      <c r="E71">
        <f t="shared" si="5"/>
        <v>2.4999999999999996</v>
      </c>
      <c r="F71" s="5">
        <f t="shared" si="6"/>
        <v>0.40000000000000008</v>
      </c>
      <c r="G71" s="4">
        <f t="shared" si="7"/>
        <v>0.59999999999999987</v>
      </c>
    </row>
    <row r="72" spans="1:7" ht="14" x14ac:dyDescent="0.15">
      <c r="A72" s="2" t="s">
        <v>142</v>
      </c>
      <c r="B72" s="2" t="s">
        <v>143</v>
      </c>
      <c r="C72" s="2">
        <v>9.0999999999999998E-2</v>
      </c>
      <c r="D72">
        <f t="shared" si="4"/>
        <v>2.73</v>
      </c>
      <c r="E72">
        <f t="shared" si="5"/>
        <v>2.65</v>
      </c>
      <c r="F72" s="5">
        <f t="shared" si="6"/>
        <v>0.37735849056603776</v>
      </c>
      <c r="G72" s="4">
        <f t="shared" si="7"/>
        <v>0.62264150943396224</v>
      </c>
    </row>
    <row r="73" spans="1:7" ht="14" x14ac:dyDescent="0.15">
      <c r="A73" s="2" t="s">
        <v>144</v>
      </c>
      <c r="B73" s="2" t="s">
        <v>145</v>
      </c>
      <c r="C73" s="2">
        <v>9.0999999999999998E-2</v>
      </c>
      <c r="D73">
        <f t="shared" si="4"/>
        <v>2.73</v>
      </c>
      <c r="E73">
        <f t="shared" si="5"/>
        <v>2.65</v>
      </c>
      <c r="F73" s="5">
        <f t="shared" si="6"/>
        <v>0.37735849056603776</v>
      </c>
      <c r="G73" s="4">
        <f t="shared" si="7"/>
        <v>0.62264150943396224</v>
      </c>
    </row>
    <row r="74" spans="1:7" ht="14" x14ac:dyDescent="0.15">
      <c r="A74" s="2" t="s">
        <v>146</v>
      </c>
      <c r="B74" s="2" t="s">
        <v>147</v>
      </c>
      <c r="C74" s="2">
        <v>8.2000000000000003E-2</v>
      </c>
      <c r="D74">
        <f t="shared" si="4"/>
        <v>2.46</v>
      </c>
      <c r="E74">
        <f t="shared" si="5"/>
        <v>2.38</v>
      </c>
      <c r="F74" s="5">
        <f t="shared" si="6"/>
        <v>0.42016806722689076</v>
      </c>
      <c r="G74" s="4">
        <f t="shared" si="7"/>
        <v>0.57983193277310918</v>
      </c>
    </row>
    <row r="75" spans="1:7" ht="14" x14ac:dyDescent="0.15">
      <c r="A75" s="2" t="s">
        <v>148</v>
      </c>
      <c r="B75" s="2" t="s">
        <v>149</v>
      </c>
      <c r="C75" s="2">
        <v>9.9000000000000005E-2</v>
      </c>
      <c r="D75">
        <f t="shared" si="4"/>
        <v>2.97</v>
      </c>
      <c r="E75">
        <f t="shared" si="5"/>
        <v>2.89</v>
      </c>
      <c r="F75" s="5">
        <f t="shared" si="6"/>
        <v>0.34602076124567471</v>
      </c>
      <c r="G75" s="4">
        <f t="shared" si="7"/>
        <v>0.65397923875432529</v>
      </c>
    </row>
    <row r="76" spans="1:7" ht="14" x14ac:dyDescent="0.15">
      <c r="A76" s="2" t="s">
        <v>150</v>
      </c>
      <c r="B76" s="2" t="s">
        <v>151</v>
      </c>
      <c r="C76" s="2">
        <v>8.3000000000000004E-2</v>
      </c>
      <c r="D76">
        <f t="shared" si="4"/>
        <v>2.4900000000000002</v>
      </c>
      <c r="E76">
        <f t="shared" si="5"/>
        <v>2.41</v>
      </c>
      <c r="F76" s="5">
        <f t="shared" si="6"/>
        <v>0.41493775933609955</v>
      </c>
      <c r="G76" s="4">
        <f t="shared" si="7"/>
        <v>0.58506224066390045</v>
      </c>
    </row>
    <row r="77" spans="1:7" ht="14" x14ac:dyDescent="0.15">
      <c r="A77" s="2" t="s">
        <v>152</v>
      </c>
      <c r="B77" s="2" t="s">
        <v>153</v>
      </c>
      <c r="C77" s="2">
        <v>9.6000000000000002E-2</v>
      </c>
      <c r="D77">
        <f t="shared" si="4"/>
        <v>2.88</v>
      </c>
      <c r="E77">
        <f t="shared" si="5"/>
        <v>2.8</v>
      </c>
      <c r="F77" s="5">
        <f t="shared" si="6"/>
        <v>0.35714285714285715</v>
      </c>
      <c r="G77" s="4">
        <f t="shared" si="7"/>
        <v>0.64285714285714279</v>
      </c>
    </row>
    <row r="78" spans="1:7" ht="14" x14ac:dyDescent="0.15">
      <c r="A78" s="2" t="s">
        <v>154</v>
      </c>
      <c r="B78" s="2" t="s">
        <v>155</v>
      </c>
      <c r="C78" s="2">
        <v>8.7999999999999995E-2</v>
      </c>
      <c r="D78">
        <f t="shared" si="4"/>
        <v>2.6399999999999997</v>
      </c>
      <c r="E78">
        <f t="shared" si="5"/>
        <v>2.5599999999999996</v>
      </c>
      <c r="F78" s="5">
        <f t="shared" si="6"/>
        <v>0.39062500000000006</v>
      </c>
      <c r="G78" s="4">
        <f t="shared" si="7"/>
        <v>0.609375</v>
      </c>
    </row>
    <row r="79" spans="1:7" ht="14" x14ac:dyDescent="0.15">
      <c r="A79" s="2" t="s">
        <v>156</v>
      </c>
      <c r="B79" s="2" t="s">
        <v>157</v>
      </c>
      <c r="C79" s="2">
        <v>8.5999999999999993E-2</v>
      </c>
      <c r="D79">
        <f t="shared" si="4"/>
        <v>2.5799999999999996</v>
      </c>
      <c r="E79">
        <f t="shared" si="5"/>
        <v>2.4999999999999996</v>
      </c>
      <c r="F79" s="5">
        <f t="shared" si="6"/>
        <v>0.40000000000000008</v>
      </c>
      <c r="G79" s="4">
        <f t="shared" si="7"/>
        <v>0.59999999999999987</v>
      </c>
    </row>
    <row r="80" spans="1:7" ht="14" x14ac:dyDescent="0.15">
      <c r="A80" s="2" t="s">
        <v>158</v>
      </c>
      <c r="B80" s="2" t="s">
        <v>159</v>
      </c>
      <c r="C80" s="2">
        <v>9.5000000000000001E-2</v>
      </c>
      <c r="D80">
        <f t="shared" si="4"/>
        <v>2.85</v>
      </c>
      <c r="E80">
        <f t="shared" si="5"/>
        <v>2.77</v>
      </c>
      <c r="F80" s="5">
        <f t="shared" si="6"/>
        <v>0.36101083032490977</v>
      </c>
      <c r="G80" s="4">
        <f t="shared" si="7"/>
        <v>0.63898916967509023</v>
      </c>
    </row>
    <row r="81" spans="1:7" ht="14" x14ac:dyDescent="0.15">
      <c r="A81" s="2" t="s">
        <v>160</v>
      </c>
      <c r="B81" s="2" t="s">
        <v>161</v>
      </c>
      <c r="C81" s="2">
        <v>9.6000000000000002E-2</v>
      </c>
      <c r="D81">
        <f t="shared" si="4"/>
        <v>2.88</v>
      </c>
      <c r="E81">
        <f t="shared" si="5"/>
        <v>2.8</v>
      </c>
      <c r="F81" s="5">
        <f t="shared" si="6"/>
        <v>0.35714285714285715</v>
      </c>
      <c r="G81" s="4">
        <f t="shared" si="7"/>
        <v>0.64285714285714279</v>
      </c>
    </row>
    <row r="82" spans="1:7" ht="14" x14ac:dyDescent="0.15">
      <c r="A82" s="2" t="s">
        <v>162</v>
      </c>
      <c r="B82" s="2" t="s">
        <v>163</v>
      </c>
      <c r="C82" s="2">
        <v>8.4000000000000005E-2</v>
      </c>
      <c r="D82">
        <f t="shared" si="4"/>
        <v>2.52</v>
      </c>
      <c r="E82">
        <f t="shared" si="5"/>
        <v>2.44</v>
      </c>
      <c r="F82" s="5">
        <f t="shared" si="6"/>
        <v>0.4098360655737705</v>
      </c>
      <c r="G82" s="4">
        <f t="shared" si="7"/>
        <v>0.5901639344262295</v>
      </c>
    </row>
    <row r="83" spans="1:7" ht="14" x14ac:dyDescent="0.15">
      <c r="A83" s="2" t="s">
        <v>164</v>
      </c>
      <c r="B83" s="2" t="s">
        <v>165</v>
      </c>
      <c r="C83" s="2">
        <v>8.4000000000000005E-2</v>
      </c>
      <c r="D83">
        <f t="shared" si="4"/>
        <v>2.52</v>
      </c>
      <c r="E83">
        <f t="shared" si="5"/>
        <v>2.44</v>
      </c>
      <c r="F83" s="5">
        <f t="shared" si="6"/>
        <v>0.4098360655737705</v>
      </c>
      <c r="G83" s="4">
        <f t="shared" si="7"/>
        <v>0.5901639344262295</v>
      </c>
    </row>
    <row r="84" spans="1:7" ht="14" x14ac:dyDescent="0.15">
      <c r="A84" s="2" t="s">
        <v>166</v>
      </c>
      <c r="B84" s="2" t="s">
        <v>167</v>
      </c>
      <c r="C84" s="2">
        <v>8.1000000000000003E-2</v>
      </c>
      <c r="D84">
        <f t="shared" si="4"/>
        <v>2.4300000000000002</v>
      </c>
      <c r="E84">
        <f t="shared" si="5"/>
        <v>2.35</v>
      </c>
      <c r="F84" s="5">
        <f t="shared" si="6"/>
        <v>0.42553191489361702</v>
      </c>
      <c r="G84" s="4">
        <f t="shared" si="7"/>
        <v>0.57446808510638303</v>
      </c>
    </row>
    <row r="85" spans="1:7" ht="14" x14ac:dyDescent="0.15">
      <c r="A85" s="2" t="s">
        <v>168</v>
      </c>
      <c r="B85" s="2" t="s">
        <v>169</v>
      </c>
      <c r="C85" s="2">
        <v>9.5000000000000001E-2</v>
      </c>
      <c r="D85">
        <f t="shared" si="4"/>
        <v>2.85</v>
      </c>
      <c r="E85">
        <f t="shared" si="5"/>
        <v>2.77</v>
      </c>
      <c r="F85" s="5">
        <f t="shared" si="6"/>
        <v>0.36101083032490977</v>
      </c>
      <c r="G85" s="4">
        <f t="shared" si="7"/>
        <v>0.63898916967509023</v>
      </c>
    </row>
    <row r="86" spans="1:7" ht="14" x14ac:dyDescent="0.15">
      <c r="A86" s="2" t="s">
        <v>170</v>
      </c>
      <c r="B86" s="2" t="s">
        <v>171</v>
      </c>
      <c r="C86" s="2">
        <v>9.4E-2</v>
      </c>
      <c r="D86">
        <f t="shared" si="4"/>
        <v>2.82</v>
      </c>
      <c r="E86">
        <f t="shared" si="5"/>
        <v>2.7399999999999998</v>
      </c>
      <c r="F86" s="5">
        <f t="shared" si="6"/>
        <v>0.36496350364963509</v>
      </c>
      <c r="G86" s="4">
        <f t="shared" si="7"/>
        <v>0.63503649635036497</v>
      </c>
    </row>
    <row r="87" spans="1:7" ht="14" x14ac:dyDescent="0.15">
      <c r="A87" s="2" t="s">
        <v>172</v>
      </c>
      <c r="B87" s="2" t="s">
        <v>173</v>
      </c>
      <c r="C87" s="2">
        <v>9.7000000000000003E-2</v>
      </c>
      <c r="D87">
        <f t="shared" si="4"/>
        <v>2.91</v>
      </c>
      <c r="E87">
        <f t="shared" si="5"/>
        <v>2.83</v>
      </c>
      <c r="F87" s="5">
        <f t="shared" si="6"/>
        <v>0.35335689045936397</v>
      </c>
      <c r="G87" s="4">
        <f t="shared" si="7"/>
        <v>0.64664310954063597</v>
      </c>
    </row>
    <row r="88" spans="1:7" ht="14" x14ac:dyDescent="0.15">
      <c r="A88" s="2" t="s">
        <v>174</v>
      </c>
      <c r="B88" s="2" t="s">
        <v>175</v>
      </c>
      <c r="C88" s="2">
        <v>0.1</v>
      </c>
      <c r="D88">
        <f t="shared" si="4"/>
        <v>3</v>
      </c>
      <c r="E88">
        <f t="shared" si="5"/>
        <v>2.92</v>
      </c>
      <c r="F88" s="5">
        <f t="shared" si="6"/>
        <v>0.34246575342465752</v>
      </c>
      <c r="G88" s="4">
        <f t="shared" si="7"/>
        <v>0.65753424657534243</v>
      </c>
    </row>
    <row r="89" spans="1:7" ht="14" x14ac:dyDescent="0.15">
      <c r="A89" s="2" t="s">
        <v>176</v>
      </c>
      <c r="B89" s="2" t="s">
        <v>177</v>
      </c>
      <c r="C89" s="2">
        <v>9.8000000000000004E-2</v>
      </c>
      <c r="D89">
        <f t="shared" si="4"/>
        <v>2.94</v>
      </c>
      <c r="E89">
        <f t="shared" si="5"/>
        <v>2.86</v>
      </c>
      <c r="F89" s="5">
        <f t="shared" si="6"/>
        <v>0.34965034965034969</v>
      </c>
      <c r="G89" s="4">
        <f t="shared" si="7"/>
        <v>0.65034965034965031</v>
      </c>
    </row>
    <row r="90" spans="1:7" ht="14" x14ac:dyDescent="0.15">
      <c r="A90" s="2" t="s">
        <v>178</v>
      </c>
      <c r="B90" s="2" t="s">
        <v>179</v>
      </c>
      <c r="C90" s="2">
        <v>8.5999999999999993E-2</v>
      </c>
      <c r="D90">
        <f t="shared" si="4"/>
        <v>2.5799999999999996</v>
      </c>
      <c r="E90">
        <f t="shared" si="5"/>
        <v>2.4999999999999996</v>
      </c>
      <c r="F90" s="5">
        <f t="shared" si="6"/>
        <v>0.40000000000000008</v>
      </c>
      <c r="G90" s="4">
        <f t="shared" si="7"/>
        <v>0.59999999999999987</v>
      </c>
    </row>
    <row r="91" spans="1:7" ht="14" x14ac:dyDescent="0.15">
      <c r="A91" s="2" t="s">
        <v>180</v>
      </c>
      <c r="B91" s="2" t="s">
        <v>181</v>
      </c>
      <c r="C91" s="2">
        <v>8.3000000000000004E-2</v>
      </c>
      <c r="D91">
        <f t="shared" si="4"/>
        <v>2.4900000000000002</v>
      </c>
      <c r="E91">
        <f t="shared" si="5"/>
        <v>2.41</v>
      </c>
      <c r="F91" s="5">
        <f t="shared" si="6"/>
        <v>0.41493775933609955</v>
      </c>
      <c r="G91" s="4">
        <f t="shared" si="7"/>
        <v>0.58506224066390045</v>
      </c>
    </row>
    <row r="92" spans="1:7" ht="14" x14ac:dyDescent="0.15">
      <c r="A92" s="2" t="s">
        <v>182</v>
      </c>
      <c r="B92" s="2" t="s">
        <v>183</v>
      </c>
      <c r="C92" s="2">
        <v>8.7999999999999995E-2</v>
      </c>
      <c r="D92">
        <f t="shared" si="4"/>
        <v>2.6399999999999997</v>
      </c>
      <c r="E92">
        <f t="shared" si="5"/>
        <v>2.5599999999999996</v>
      </c>
      <c r="F92" s="5">
        <f t="shared" si="6"/>
        <v>0.39062500000000006</v>
      </c>
      <c r="G92" s="4">
        <f t="shared" si="7"/>
        <v>0.609375</v>
      </c>
    </row>
    <row r="93" spans="1:7" ht="14" x14ac:dyDescent="0.15">
      <c r="A93" s="2" t="s">
        <v>184</v>
      </c>
      <c r="B93" s="2" t="s">
        <v>185</v>
      </c>
      <c r="C93" s="2">
        <v>0.10100000000000001</v>
      </c>
      <c r="D93">
        <f t="shared" si="4"/>
        <v>3.0300000000000002</v>
      </c>
      <c r="E93">
        <f t="shared" si="5"/>
        <v>2.95</v>
      </c>
      <c r="F93" s="5">
        <f t="shared" si="6"/>
        <v>0.33898305084745761</v>
      </c>
      <c r="G93" s="4">
        <f t="shared" si="7"/>
        <v>0.66101694915254239</v>
      </c>
    </row>
    <row r="94" spans="1:7" ht="14" x14ac:dyDescent="0.15">
      <c r="A94" s="2" t="s">
        <v>186</v>
      </c>
      <c r="B94" s="2" t="s">
        <v>187</v>
      </c>
      <c r="C94" s="2">
        <v>0.10100000000000001</v>
      </c>
      <c r="D94">
        <f t="shared" si="4"/>
        <v>3.0300000000000002</v>
      </c>
      <c r="E94">
        <f t="shared" si="5"/>
        <v>2.95</v>
      </c>
      <c r="F94" s="5">
        <f t="shared" si="6"/>
        <v>0.33898305084745761</v>
      </c>
      <c r="G94" s="4">
        <f t="shared" si="7"/>
        <v>0.66101694915254239</v>
      </c>
    </row>
    <row r="95" spans="1:7" ht="14" x14ac:dyDescent="0.15">
      <c r="A95" s="2" t="s">
        <v>188</v>
      </c>
      <c r="B95" s="2" t="s">
        <v>189</v>
      </c>
      <c r="C95" s="2">
        <v>9.2999999999999999E-2</v>
      </c>
      <c r="D95">
        <f t="shared" si="4"/>
        <v>2.79</v>
      </c>
      <c r="E95">
        <f t="shared" si="5"/>
        <v>2.71</v>
      </c>
      <c r="F95" s="5">
        <f t="shared" si="6"/>
        <v>0.36900369003690037</v>
      </c>
      <c r="G95" s="4">
        <f t="shared" si="7"/>
        <v>0.63099630996309963</v>
      </c>
    </row>
    <row r="96" spans="1:7" ht="14" x14ac:dyDescent="0.15">
      <c r="A96" s="2" t="s">
        <v>190</v>
      </c>
      <c r="B96" s="2" t="s">
        <v>191</v>
      </c>
      <c r="C96" s="2">
        <v>9.6000000000000002E-2</v>
      </c>
      <c r="D96">
        <f t="shared" si="4"/>
        <v>2.88</v>
      </c>
      <c r="E96">
        <f t="shared" si="5"/>
        <v>2.8</v>
      </c>
      <c r="F96" s="5">
        <f t="shared" si="6"/>
        <v>0.35714285714285715</v>
      </c>
      <c r="G96" s="4">
        <f t="shared" si="7"/>
        <v>0.64285714285714279</v>
      </c>
    </row>
    <row r="97" spans="1:7" ht="14" x14ac:dyDescent="0.15">
      <c r="A97" s="2" t="s">
        <v>192</v>
      </c>
      <c r="B97" s="2" t="s">
        <v>193</v>
      </c>
      <c r="C97" s="2">
        <v>8.7999999999999995E-2</v>
      </c>
      <c r="D97">
        <f t="shared" si="4"/>
        <v>2.6399999999999997</v>
      </c>
      <c r="E97">
        <f t="shared" si="5"/>
        <v>2.5599999999999996</v>
      </c>
      <c r="F97" s="5">
        <f t="shared" si="6"/>
        <v>0.39062500000000006</v>
      </c>
      <c r="G97" s="4">
        <f t="shared" si="7"/>
        <v>0.609375</v>
      </c>
    </row>
    <row r="98" spans="1:7" ht="12.75" customHeight="1" x14ac:dyDescent="0.15">
      <c r="A98" s="1" t="s">
        <v>0</v>
      </c>
      <c r="B98" s="1" t="s">
        <v>1</v>
      </c>
      <c r="C98" s="1">
        <v>600</v>
      </c>
      <c r="D98">
        <f t="shared" si="4"/>
        <v>18000</v>
      </c>
      <c r="E98">
        <f t="shared" si="5"/>
        <v>17999.919999999998</v>
      </c>
      <c r="F98" s="5">
        <f t="shared" si="6"/>
        <v>5.5555802470233207E-5</v>
      </c>
      <c r="G98" s="4">
        <f t="shared" si="7"/>
        <v>0.99994444419752981</v>
      </c>
    </row>
    <row r="99" spans="1:7" ht="12.75" customHeight="1" x14ac:dyDescent="0.15">
      <c r="A99" s="2" t="s">
        <v>2</v>
      </c>
      <c r="B99" s="2" t="s">
        <v>3</v>
      </c>
      <c r="C99" s="2">
        <v>8.6999999999999994E-2</v>
      </c>
      <c r="D99">
        <f t="shared" si="4"/>
        <v>2.61</v>
      </c>
      <c r="E99">
        <f t="shared" si="5"/>
        <v>2.5299999999999998</v>
      </c>
      <c r="F99" s="5">
        <f t="shared" si="6"/>
        <v>0.39525691699604748</v>
      </c>
      <c r="G99" s="4">
        <f t="shared" si="7"/>
        <v>0.60474308300395252</v>
      </c>
    </row>
    <row r="100" spans="1:7" ht="12.75" customHeight="1" x14ac:dyDescent="0.15">
      <c r="A100" s="2" t="s">
        <v>4</v>
      </c>
      <c r="B100" s="2" t="s">
        <v>5</v>
      </c>
      <c r="C100" s="2">
        <v>9.2999999999999999E-2</v>
      </c>
      <c r="D100">
        <f t="shared" si="4"/>
        <v>2.79</v>
      </c>
      <c r="E100">
        <f t="shared" si="5"/>
        <v>2.71</v>
      </c>
      <c r="F100" s="5">
        <f t="shared" si="6"/>
        <v>0.36900369003690037</v>
      </c>
      <c r="G100" s="4">
        <f t="shared" si="7"/>
        <v>0.63099630996309963</v>
      </c>
    </row>
    <row r="101" spans="1:7" ht="12.75" customHeight="1" x14ac:dyDescent="0.15">
      <c r="A101" s="2" t="s">
        <v>18</v>
      </c>
      <c r="B101" s="2" t="s">
        <v>19</v>
      </c>
      <c r="C101" s="2">
        <v>8.6999999999999994E-2</v>
      </c>
      <c r="D101">
        <f t="shared" si="4"/>
        <v>2.61</v>
      </c>
      <c r="E101">
        <f t="shared" si="5"/>
        <v>2.5299999999999998</v>
      </c>
      <c r="F101" s="5">
        <f t="shared" si="6"/>
        <v>0.39525691699604748</v>
      </c>
      <c r="G101" s="4">
        <f t="shared" si="7"/>
        <v>0.60474308300395252</v>
      </c>
    </row>
    <row r="102" spans="1:7" ht="12.75" customHeight="1" x14ac:dyDescent="0.15">
      <c r="A102" s="2" t="s">
        <v>20</v>
      </c>
      <c r="B102" s="2" t="s">
        <v>21</v>
      </c>
      <c r="C102" s="2">
        <v>8.6999999999999994E-2</v>
      </c>
      <c r="D102">
        <f t="shared" si="4"/>
        <v>2.61</v>
      </c>
      <c r="E102">
        <f t="shared" si="5"/>
        <v>2.5299999999999998</v>
      </c>
      <c r="F102" s="5">
        <f t="shared" si="6"/>
        <v>0.39525691699604748</v>
      </c>
      <c r="G102" s="4">
        <f t="shared" si="7"/>
        <v>0.60474308300395252</v>
      </c>
    </row>
    <row r="103" spans="1:7" ht="12.75" customHeight="1" x14ac:dyDescent="0.15">
      <c r="A103" s="2" t="s">
        <v>22</v>
      </c>
      <c r="B103" s="2" t="s">
        <v>23</v>
      </c>
      <c r="C103" s="2">
        <v>8.7999999999999995E-2</v>
      </c>
      <c r="D103">
        <f t="shared" si="4"/>
        <v>2.6399999999999997</v>
      </c>
      <c r="E103">
        <f t="shared" si="5"/>
        <v>2.5599999999999996</v>
      </c>
      <c r="F103" s="5">
        <f t="shared" si="6"/>
        <v>0.39062500000000006</v>
      </c>
      <c r="G103" s="4">
        <f t="shared" si="7"/>
        <v>0.609375</v>
      </c>
    </row>
    <row r="104" spans="1:7" ht="12.75" customHeight="1" x14ac:dyDescent="0.15">
      <c r="A104" s="2" t="s">
        <v>34</v>
      </c>
      <c r="B104" s="2" t="s">
        <v>35</v>
      </c>
      <c r="C104" s="2">
        <v>8.5999999999999993E-2</v>
      </c>
      <c r="D104">
        <f t="shared" si="4"/>
        <v>2.5799999999999996</v>
      </c>
      <c r="E104">
        <f t="shared" si="5"/>
        <v>2.4999999999999996</v>
      </c>
      <c r="F104" s="5">
        <f t="shared" si="6"/>
        <v>0.40000000000000008</v>
      </c>
      <c r="G104" s="4">
        <f t="shared" si="7"/>
        <v>0.59999999999999987</v>
      </c>
    </row>
    <row r="105" spans="1:7" ht="12.75" customHeight="1" x14ac:dyDescent="0.15">
      <c r="A105" s="2" t="s">
        <v>36</v>
      </c>
      <c r="B105" s="2" t="s">
        <v>37</v>
      </c>
      <c r="C105" s="2">
        <v>9.5000000000000001E-2</v>
      </c>
      <c r="D105">
        <f t="shared" si="4"/>
        <v>2.85</v>
      </c>
      <c r="E105">
        <f t="shared" si="5"/>
        <v>2.77</v>
      </c>
      <c r="F105" s="5">
        <f t="shared" si="6"/>
        <v>0.36101083032490977</v>
      </c>
      <c r="G105" s="4">
        <f t="shared" si="7"/>
        <v>0.63898916967509023</v>
      </c>
    </row>
    <row r="106" spans="1:7" ht="12.75" customHeight="1" x14ac:dyDescent="0.15">
      <c r="A106" s="2" t="s">
        <v>50</v>
      </c>
      <c r="B106" s="2" t="s">
        <v>51</v>
      </c>
      <c r="C106" s="2">
        <v>8.3000000000000004E-2</v>
      </c>
      <c r="D106">
        <f t="shared" si="4"/>
        <v>2.4900000000000002</v>
      </c>
      <c r="E106">
        <f t="shared" si="5"/>
        <v>2.41</v>
      </c>
      <c r="F106" s="5">
        <f t="shared" si="6"/>
        <v>0.41493775933609955</v>
      </c>
      <c r="G106" s="4">
        <f t="shared" si="7"/>
        <v>0.58506224066390045</v>
      </c>
    </row>
    <row r="107" spans="1:7" ht="12.75" customHeight="1" x14ac:dyDescent="0.15">
      <c r="A107" s="2" t="s">
        <v>52</v>
      </c>
      <c r="B107" s="2" t="s">
        <v>53</v>
      </c>
      <c r="C107" s="2">
        <v>8.4000000000000005E-2</v>
      </c>
      <c r="D107">
        <f t="shared" si="4"/>
        <v>2.52</v>
      </c>
      <c r="E107">
        <f t="shared" si="5"/>
        <v>2.44</v>
      </c>
      <c r="F107" s="5">
        <f t="shared" si="6"/>
        <v>0.4098360655737705</v>
      </c>
      <c r="G107" s="4">
        <f t="shared" si="7"/>
        <v>0.5901639344262295</v>
      </c>
    </row>
    <row r="108" spans="1:7" ht="12.75" customHeight="1" x14ac:dyDescent="0.15">
      <c r="A108" s="2" t="s">
        <v>66</v>
      </c>
      <c r="B108" s="2" t="s">
        <v>67</v>
      </c>
      <c r="C108" s="2">
        <v>9.8000000000000004E-2</v>
      </c>
      <c r="D108">
        <f t="shared" si="4"/>
        <v>2.94</v>
      </c>
      <c r="E108">
        <f t="shared" si="5"/>
        <v>2.86</v>
      </c>
      <c r="F108" s="5">
        <f t="shared" si="6"/>
        <v>0.34965034965034969</v>
      </c>
      <c r="G108" s="4">
        <f t="shared" si="7"/>
        <v>0.65034965034965031</v>
      </c>
    </row>
    <row r="109" spans="1:7" ht="12.75" customHeight="1" x14ac:dyDescent="0.15">
      <c r="A109" s="2" t="s">
        <v>68</v>
      </c>
      <c r="B109" s="2" t="s">
        <v>69</v>
      </c>
      <c r="C109" s="2">
        <v>8.6999999999999994E-2</v>
      </c>
      <c r="D109">
        <f t="shared" si="4"/>
        <v>2.61</v>
      </c>
      <c r="E109">
        <f t="shared" si="5"/>
        <v>2.5299999999999998</v>
      </c>
      <c r="F109" s="5">
        <f t="shared" si="6"/>
        <v>0.39525691699604748</v>
      </c>
      <c r="G109" s="4">
        <f t="shared" si="7"/>
        <v>0.60474308300395252</v>
      </c>
    </row>
    <row r="110" spans="1:7" ht="12.75" customHeight="1" x14ac:dyDescent="0.15">
      <c r="A110" s="2" t="s">
        <v>82</v>
      </c>
      <c r="B110" s="2" t="s">
        <v>83</v>
      </c>
      <c r="C110" s="2">
        <v>9.7000000000000003E-2</v>
      </c>
      <c r="D110">
        <f t="shared" si="4"/>
        <v>2.91</v>
      </c>
      <c r="E110">
        <f t="shared" si="5"/>
        <v>2.83</v>
      </c>
      <c r="F110" s="5">
        <f t="shared" si="6"/>
        <v>0.35335689045936397</v>
      </c>
      <c r="G110" s="4">
        <f t="shared" si="7"/>
        <v>0.64664310954063597</v>
      </c>
    </row>
    <row r="111" spans="1:7" ht="12.75" customHeight="1" x14ac:dyDescent="0.15">
      <c r="A111" s="2" t="s">
        <v>84</v>
      </c>
      <c r="B111" s="2" t="s">
        <v>85</v>
      </c>
      <c r="C111" s="2">
        <v>0.08</v>
      </c>
      <c r="D111">
        <f t="shared" si="4"/>
        <v>2.4</v>
      </c>
      <c r="E111">
        <f t="shared" si="5"/>
        <v>2.3199999999999998</v>
      </c>
      <c r="F111" s="5">
        <f t="shared" si="6"/>
        <v>0.43103448275862072</v>
      </c>
      <c r="G111" s="4">
        <f t="shared" si="7"/>
        <v>0.56896551724137923</v>
      </c>
    </row>
    <row r="112" spans="1:7" ht="12.75" customHeight="1" x14ac:dyDescent="0.15">
      <c r="A112" s="2" t="s">
        <v>98</v>
      </c>
      <c r="B112" s="2" t="s">
        <v>99</v>
      </c>
      <c r="C112" s="2">
        <v>0.09</v>
      </c>
      <c r="D112">
        <f t="shared" si="4"/>
        <v>2.6999999999999997</v>
      </c>
      <c r="E112">
        <f t="shared" si="5"/>
        <v>2.6199999999999997</v>
      </c>
      <c r="F112" s="5">
        <f t="shared" si="6"/>
        <v>0.38167938931297712</v>
      </c>
      <c r="G112" s="4">
        <f t="shared" si="7"/>
        <v>0.61832061068702293</v>
      </c>
    </row>
    <row r="113" spans="1:7" ht="12.75" customHeight="1" x14ac:dyDescent="0.15">
      <c r="A113" s="2" t="s">
        <v>114</v>
      </c>
      <c r="B113" s="2" t="s">
        <v>115</v>
      </c>
      <c r="C113" s="2">
        <v>8.5999999999999993E-2</v>
      </c>
      <c r="D113">
        <f t="shared" si="4"/>
        <v>2.5799999999999996</v>
      </c>
      <c r="E113">
        <f t="shared" si="5"/>
        <v>2.4999999999999996</v>
      </c>
      <c r="F113" s="5">
        <f t="shared" si="6"/>
        <v>0.40000000000000008</v>
      </c>
      <c r="G113" s="4">
        <f t="shared" si="7"/>
        <v>0.59999999999999987</v>
      </c>
    </row>
    <row r="114" spans="1:7" ht="12.75" customHeight="1" x14ac:dyDescent="0.15">
      <c r="A114" s="2" t="s">
        <v>130</v>
      </c>
      <c r="B114" s="2" t="s">
        <v>131</v>
      </c>
      <c r="C114" s="2">
        <v>0.09</v>
      </c>
      <c r="D114">
        <f t="shared" si="4"/>
        <v>2.6999999999999997</v>
      </c>
      <c r="E114">
        <f t="shared" si="5"/>
        <v>2.6199999999999997</v>
      </c>
      <c r="F114" s="5">
        <f t="shared" si="6"/>
        <v>0.38167938931297712</v>
      </c>
      <c r="G114" s="4">
        <f t="shared" si="7"/>
        <v>0.61832061068702293</v>
      </c>
    </row>
    <row r="115" spans="1:7" ht="12.75" customHeight="1" x14ac:dyDescent="0.15">
      <c r="A115" s="2" t="s">
        <v>146</v>
      </c>
      <c r="B115" s="2" t="s">
        <v>147</v>
      </c>
      <c r="C115" s="2">
        <v>8.8999999999999996E-2</v>
      </c>
      <c r="D115">
        <f t="shared" si="4"/>
        <v>2.67</v>
      </c>
      <c r="E115">
        <f t="shared" si="5"/>
        <v>2.59</v>
      </c>
      <c r="F115" s="5">
        <f t="shared" si="6"/>
        <v>0.38610038610038611</v>
      </c>
      <c r="G115" s="4">
        <f t="shared" si="7"/>
        <v>0.61389961389961389</v>
      </c>
    </row>
    <row r="116" spans="1:7" ht="12.75" customHeight="1" x14ac:dyDescent="0.15">
      <c r="A116" s="2" t="s">
        <v>162</v>
      </c>
      <c r="B116" s="2" t="s">
        <v>163</v>
      </c>
      <c r="C116" s="2">
        <v>9.1999999999999998E-2</v>
      </c>
      <c r="D116">
        <f t="shared" si="4"/>
        <v>2.76</v>
      </c>
      <c r="E116">
        <f t="shared" si="5"/>
        <v>2.6799999999999997</v>
      </c>
      <c r="F116" s="5">
        <f t="shared" si="6"/>
        <v>0.37313432835820898</v>
      </c>
      <c r="G116" s="4">
        <f t="shared" si="7"/>
        <v>0.62686567164179108</v>
      </c>
    </row>
    <row r="117" spans="1:7" ht="12.75" customHeight="1" x14ac:dyDescent="0.15">
      <c r="A117" s="2" t="s">
        <v>178</v>
      </c>
      <c r="B117" s="2" t="s">
        <v>179</v>
      </c>
      <c r="C117" s="2">
        <v>8.7999999999999995E-2</v>
      </c>
      <c r="D117">
        <f t="shared" si="4"/>
        <v>2.6399999999999997</v>
      </c>
      <c r="E117">
        <f t="shared" si="5"/>
        <v>2.5599999999999996</v>
      </c>
      <c r="F117" s="5">
        <f t="shared" si="6"/>
        <v>0.39062500000000006</v>
      </c>
      <c r="G117" s="4">
        <f t="shared" si="7"/>
        <v>0.609375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HP-User</dc:creator>
  <cp:lastModifiedBy>Alberto Barron Sandoval</cp:lastModifiedBy>
  <cp:lastPrinted>2024-02-20T20:45:14Z</cp:lastPrinted>
  <dcterms:created xsi:type="dcterms:W3CDTF">2011-01-18T20:51:17Z</dcterms:created>
  <dcterms:modified xsi:type="dcterms:W3CDTF">2024-02-21T01:24:54Z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