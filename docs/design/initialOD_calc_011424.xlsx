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13_ncr:1_{2813475C-7C30-E74E-A258-89ADB884C9B2}" xr6:coauthVersionLast="45" xr6:coauthVersionMax="45" xr10:uidLastSave="{00000000-0000-0000-0000-000000000000}"/>
  <bookViews>
    <workbookView xWindow="14740" yWindow="5020" windowWidth="28040" windowHeight="17440" xr2:uid="{663D17B2-548B-BA4C-AB27-36A1C9F31E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D2" i="1"/>
  <c r="E2" i="1" s="1"/>
  <c r="F2" i="1" s="1"/>
  <c r="E4" i="1"/>
  <c r="E5" i="1"/>
  <c r="E7" i="1"/>
  <c r="E8" i="1"/>
  <c r="E9" i="1"/>
  <c r="E11" i="1"/>
  <c r="E12" i="1"/>
  <c r="E13" i="1"/>
  <c r="E15" i="1"/>
  <c r="E16" i="1"/>
  <c r="E17" i="1"/>
  <c r="E19" i="1"/>
  <c r="E20" i="1"/>
  <c r="E21" i="1"/>
  <c r="E23" i="1"/>
  <c r="E24" i="1"/>
  <c r="E25" i="1"/>
  <c r="E27" i="1"/>
  <c r="E28" i="1"/>
  <c r="E29" i="1"/>
  <c r="E31" i="1"/>
  <c r="E32" i="1"/>
  <c r="E33" i="1"/>
  <c r="E35" i="1"/>
  <c r="E36" i="1"/>
  <c r="E37" i="1"/>
  <c r="E39" i="1"/>
  <c r="E40" i="1"/>
  <c r="E41" i="1"/>
  <c r="E43" i="1"/>
  <c r="E44" i="1"/>
  <c r="E45" i="1"/>
  <c r="E47" i="1"/>
  <c r="E48" i="1"/>
  <c r="E49" i="1"/>
  <c r="E51" i="1"/>
  <c r="E52" i="1"/>
  <c r="E53" i="1"/>
  <c r="E55" i="1"/>
  <c r="E56" i="1"/>
  <c r="E57" i="1"/>
  <c r="E59" i="1"/>
  <c r="E60" i="1"/>
  <c r="E61" i="1"/>
  <c r="E63" i="1"/>
  <c r="E64" i="1"/>
  <c r="E65" i="1"/>
  <c r="E67" i="1"/>
  <c r="E68" i="1"/>
  <c r="E69" i="1"/>
  <c r="E71" i="1"/>
  <c r="E72" i="1"/>
  <c r="E73" i="1"/>
  <c r="E75" i="1"/>
  <c r="E76" i="1"/>
  <c r="E77" i="1"/>
  <c r="E79" i="1"/>
  <c r="E80" i="1"/>
  <c r="E81" i="1"/>
  <c r="E83" i="1"/>
  <c r="E84" i="1"/>
  <c r="E85" i="1"/>
  <c r="E87" i="1"/>
  <c r="E88" i="1"/>
  <c r="E89" i="1"/>
  <c r="E91" i="1"/>
  <c r="E92" i="1"/>
  <c r="E93" i="1"/>
  <c r="E95" i="1"/>
  <c r="E96" i="1"/>
  <c r="E97" i="1"/>
  <c r="D3" i="1"/>
  <c r="E3" i="1" s="1"/>
  <c r="D4" i="1"/>
  <c r="D5" i="1"/>
  <c r="D6" i="1"/>
  <c r="E6" i="1" s="1"/>
  <c r="D7" i="1"/>
  <c r="D8" i="1"/>
  <c r="D9" i="1"/>
  <c r="D10" i="1"/>
  <c r="E10" i="1" s="1"/>
  <c r="D11" i="1"/>
  <c r="D12" i="1"/>
  <c r="D13" i="1"/>
  <c r="D14" i="1"/>
  <c r="E14" i="1" s="1"/>
  <c r="D15" i="1"/>
  <c r="D16" i="1"/>
  <c r="D17" i="1"/>
  <c r="D18" i="1"/>
  <c r="E18" i="1" s="1"/>
  <c r="D19" i="1"/>
  <c r="D20" i="1"/>
  <c r="D21" i="1"/>
  <c r="D22" i="1"/>
  <c r="E22" i="1" s="1"/>
  <c r="D23" i="1"/>
  <c r="D24" i="1"/>
  <c r="D25" i="1"/>
  <c r="D26" i="1"/>
  <c r="E26" i="1" s="1"/>
  <c r="D27" i="1"/>
  <c r="D28" i="1"/>
  <c r="D29" i="1"/>
  <c r="D30" i="1"/>
  <c r="E30" i="1" s="1"/>
  <c r="D31" i="1"/>
  <c r="D32" i="1"/>
  <c r="D33" i="1"/>
  <c r="D34" i="1"/>
  <c r="E34" i="1" s="1"/>
  <c r="D35" i="1"/>
  <c r="D36" i="1"/>
  <c r="D37" i="1"/>
  <c r="D38" i="1"/>
  <c r="E38" i="1" s="1"/>
  <c r="D39" i="1"/>
  <c r="D40" i="1"/>
  <c r="D41" i="1"/>
  <c r="D42" i="1"/>
  <c r="E42" i="1" s="1"/>
  <c r="D43" i="1"/>
  <c r="D44" i="1"/>
  <c r="D45" i="1"/>
  <c r="D46" i="1"/>
  <c r="E46" i="1" s="1"/>
  <c r="D47" i="1"/>
  <c r="D48" i="1"/>
  <c r="D49" i="1"/>
  <c r="D50" i="1"/>
  <c r="E50" i="1" s="1"/>
  <c r="D51" i="1"/>
  <c r="D52" i="1"/>
  <c r="D53" i="1"/>
  <c r="D54" i="1"/>
  <c r="E54" i="1" s="1"/>
  <c r="D55" i="1"/>
  <c r="D56" i="1"/>
  <c r="D57" i="1"/>
  <c r="D58" i="1"/>
  <c r="E58" i="1" s="1"/>
  <c r="D59" i="1"/>
  <c r="D60" i="1"/>
  <c r="D61" i="1"/>
  <c r="D62" i="1"/>
  <c r="E62" i="1" s="1"/>
  <c r="D63" i="1"/>
  <c r="D64" i="1"/>
  <c r="D65" i="1"/>
  <c r="D66" i="1"/>
  <c r="E66" i="1" s="1"/>
  <c r="D67" i="1"/>
  <c r="D68" i="1"/>
  <c r="D69" i="1"/>
  <c r="D70" i="1"/>
  <c r="E70" i="1" s="1"/>
  <c r="D71" i="1"/>
  <c r="D72" i="1"/>
  <c r="D73" i="1"/>
  <c r="D74" i="1"/>
  <c r="E74" i="1" s="1"/>
  <c r="D75" i="1"/>
  <c r="D76" i="1"/>
  <c r="D77" i="1"/>
  <c r="D78" i="1"/>
  <c r="E78" i="1" s="1"/>
  <c r="D79" i="1"/>
  <c r="D80" i="1"/>
  <c r="D81" i="1"/>
  <c r="D82" i="1"/>
  <c r="E82" i="1" s="1"/>
  <c r="D83" i="1"/>
  <c r="D84" i="1"/>
  <c r="D85" i="1"/>
  <c r="D86" i="1"/>
  <c r="E86" i="1" s="1"/>
  <c r="D87" i="1"/>
  <c r="D88" i="1"/>
  <c r="D89" i="1"/>
  <c r="D90" i="1"/>
  <c r="E90" i="1" s="1"/>
  <c r="D91" i="1"/>
  <c r="D92" i="1"/>
  <c r="D93" i="1"/>
  <c r="D94" i="1"/>
  <c r="E94" i="1" s="1"/>
  <c r="D95" i="1"/>
  <c r="D96" i="1"/>
  <c r="D97" i="1"/>
</calcChain>
</file>

<file path=xl/sharedStrings.xml><?xml version="1.0" encoding="utf-8"?>
<sst xmlns="http://schemas.openxmlformats.org/spreadsheetml/2006/main" count="102" uniqueCount="102">
  <si>
    <t>Well</t>
  </si>
  <si>
    <t>OD</t>
  </si>
  <si>
    <t>A1</t>
  </si>
  <si>
    <t>blank</t>
  </si>
  <si>
    <t>min_blank</t>
  </si>
  <si>
    <t>V1x21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</si>
  <si>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</si>
  <si>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</si>
  <si>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</si>
  <si>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</si>
  <si>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</si>
  <si>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</si>
  <si>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</si>
  <si>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</si>
  <si>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</si>
  <si>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</si>
  <si>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</si>
  <si>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</si>
  <si>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</si>
  <si>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</si>
  <si>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</si>
  <si>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</si>
  <si>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</si>
  <si>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</si>
  <si>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</si>
  <si>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</si>
  <si>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</si>
  <si>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</si>
  <si>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</si>
  <si>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</si>
  <si>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</si>
  <si>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</si>
  <si>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</si>
  <si>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</si>
  <si>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</si>
  <si>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</si>
  <si>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</si>
  <si>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</si>
  <si>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</si>
  <si>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</si>
  <si>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</si>
  <si>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</si>
  <si>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</si>
  <si>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</si>
  <si>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</si>
  <si>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</si>
  <si>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</si>
  <si>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</si>
  <si>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</si>
  <si>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</si>
  <si>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</si>
  <si>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</si>
  <si>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</si>
  <si>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</si>
  <si>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</si>
  <si>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</si>
  <si>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</si>
  <si>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</si>
  <si>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</si>
  <si>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</si>
  <si>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</si>
  <si>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</si>
  <si>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</si>
  <si>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</si>
  <si>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</si>
  <si>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</si>
  <si>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</si>
  <si>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</si>
  <si>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</si>
  <si>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</si>
  <si>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</si>
  <si>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</si>
  <si>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</si>
  <si>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</si>
  <si>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</si>
  <si>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</si>
  <si>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</si>
  <si>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</si>
  <si>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</si>
  <si>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</si>
  <si>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</si>
  <si>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</si>
  <si>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</si>
  <si>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</si>
  <si>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</si>
  <si>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</si>
  <si>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</si>
  <si>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</si>
  <si>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</si>
  <si>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</si>
  <si>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</si>
  <si>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</si>
  <si>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</si>
  <si>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</si>
  <si>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</si>
  <si>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</si>
  <si>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</si>
  <si>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</si>
  <si>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</si>
  <si>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</si>
  <si>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</si>
  <si>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 to 0.1 in 100ul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</si>
</sst>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D675-34DB-5B40-A850-20F0DA1AD9CE}">
  <dimension ref="A1:F97"/>
  <sheetViews>
    <sheetView tabSelected="1" zoomScale="120" zoomScaleNormal="120" workbookViewId="0">
      <selection activeCell="E2" sqref="E2"/>
    </sheetView>
  </sheetViews>
  <sheetFormatPr baseColWidth="10" defaultRowHeight="16" x14ac:dyDescent="0.2"/>
  <cols>
    <col min="5" max="5" width="13.33203125" bestFit="1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4</v>
      </c>
      <c r="E1" t="s">
        <v>101</v>
      </c>
      <c r="F1" t="s">
        <v>5</v>
      </c>
    </row>
    <row r="2" spans="1:6" x14ac:dyDescent="0.2">
      <c r="A2" s="1" t="s">
        <v>2</v>
      </c>
      <c r="B2" s="1">
        <v>0.17979999999999999</v>
      </c>
      <c r="C2" s="1">
        <v>3.6700000000000003E-2</v>
      </c>
      <c r="D2">
        <f>B2-C2</f>
        <v>0.14309999999999998</v>
      </c>
      <c r="E2">
        <f>(0.1*100)/D2</f>
        <v>69.881201956673664</v>
      </c>
      <c r="F2">
        <f>E2*21</f>
        <v>1467.5052410901469</v>
      </c>
    </row>
    <row r="3" spans="1:6" x14ac:dyDescent="0.2">
      <c r="A3" s="1" t="s">
        <v>6</v>
      </c>
      <c r="B3" s="1">
        <v>0.21099999999999999</v>
      </c>
      <c r="C3" s="1">
        <v>3.6700000000000003E-2</v>
      </c>
      <c r="D3">
        <f t="shared" ref="D3:D66" si="0">B3-C3</f>
        <v>0.17429999999999998</v>
      </c>
      <c r="E3">
        <f t="shared" ref="E3:E66" si="1">(0.1*100)/D3</f>
        <v>57.37234652897304</v>
      </c>
      <c r="F3">
        <f t="shared" ref="F3:F66" si="2">E3*21</f>
        <v>1204.8192771084339</v>
      </c>
    </row>
    <row r="4" spans="1:6" x14ac:dyDescent="0.2">
      <c r="A4" s="1" t="s">
        <v>7</v>
      </c>
      <c r="B4" s="1">
        <v>0.20280000000000001</v>
      </c>
      <c r="C4" s="1">
        <v>3.6700000000000003E-2</v>
      </c>
      <c r="D4">
        <f t="shared" si="0"/>
        <v>0.1661</v>
      </c>
      <c r="E4">
        <f t="shared" si="1"/>
        <v>60.204695966285371</v>
      </c>
      <c r="F4">
        <f t="shared" si="2"/>
        <v>1264.2986152919927</v>
      </c>
    </row>
    <row r="5" spans="1:6" x14ac:dyDescent="0.2">
      <c r="A5" s="1" t="s">
        <v>8</v>
      </c>
      <c r="B5" s="1">
        <v>4.19E-2</v>
      </c>
      <c r="C5" s="1">
        <v>3.6700000000000003E-2</v>
      </c>
      <c r="D5">
        <f t="shared" si="0"/>
        <v>5.1999999999999963E-3</v>
      </c>
      <c r="E5">
        <f t="shared" si="1"/>
        <v>1923.0769230769245</v>
      </c>
      <c r="F5">
        <f t="shared" si="2"/>
        <v>40384.615384615412</v>
      </c>
    </row>
    <row r="6" spans="1:6" x14ac:dyDescent="0.2">
      <c r="A6" s="1" t="s">
        <v>9</v>
      </c>
      <c r="B6" s="1">
        <v>0.1603</v>
      </c>
      <c r="C6" s="1">
        <v>3.6700000000000003E-2</v>
      </c>
      <c r="D6">
        <f t="shared" si="0"/>
        <v>0.12359999999999999</v>
      </c>
      <c r="E6">
        <f t="shared" si="1"/>
        <v>80.906148867313931</v>
      </c>
      <c r="F6">
        <f t="shared" si="2"/>
        <v>1699.0291262135925</v>
      </c>
    </row>
    <row r="7" spans="1:6" x14ac:dyDescent="0.2">
      <c r="A7" s="1" t="s">
        <v>10</v>
      </c>
      <c r="B7" s="1">
        <v>8.8400000000000006E-2</v>
      </c>
      <c r="C7" s="1">
        <v>3.6700000000000003E-2</v>
      </c>
      <c r="D7">
        <f t="shared" si="0"/>
        <v>5.1700000000000003E-2</v>
      </c>
      <c r="E7">
        <f t="shared" si="1"/>
        <v>193.42359767891682</v>
      </c>
      <c r="F7">
        <f t="shared" si="2"/>
        <v>4061.8955512572534</v>
      </c>
    </row>
    <row r="8" spans="1:6" x14ac:dyDescent="0.2">
      <c r="A8" s="1" t="s">
        <v>11</v>
      </c>
      <c r="B8" s="1">
        <v>8.5000000000000006E-2</v>
      </c>
      <c r="C8" s="1">
        <v>3.6700000000000003E-2</v>
      </c>
      <c r="D8">
        <f t="shared" si="0"/>
        <v>4.8300000000000003E-2</v>
      </c>
      <c r="E8">
        <f t="shared" si="1"/>
        <v>207.03933747412006</v>
      </c>
      <c r="F8">
        <f t="shared" si="2"/>
        <v>4347.8260869565211</v>
      </c>
    </row>
    <row r="9" spans="1:6" x14ac:dyDescent="0.2">
      <c r="A9" s="1" t="s">
        <v>12</v>
      </c>
      <c r="B9" s="1">
        <v>0.13880000000000001</v>
      </c>
      <c r="C9" s="1">
        <v>3.6700000000000003E-2</v>
      </c>
      <c r="D9">
        <f t="shared" si="0"/>
        <v>0.1021</v>
      </c>
      <c r="E9">
        <f t="shared" si="1"/>
        <v>97.943192948090115</v>
      </c>
      <c r="F9">
        <f t="shared" si="2"/>
        <v>2056.8070519098924</v>
      </c>
    </row>
    <row r="10" spans="1:6" x14ac:dyDescent="0.2">
      <c r="A10" s="1" t="s">
        <v>13</v>
      </c>
      <c r="B10" s="1">
        <v>6.5699999999999995E-2</v>
      </c>
      <c r="C10" s="1">
        <v>3.6700000000000003E-2</v>
      </c>
      <c r="D10">
        <f t="shared" si="0"/>
        <v>2.8999999999999991E-2</v>
      </c>
      <c r="E10">
        <f t="shared" si="1"/>
        <v>344.82758620689668</v>
      </c>
      <c r="F10">
        <f t="shared" si="2"/>
        <v>7241.3793103448306</v>
      </c>
    </row>
    <row r="11" spans="1:6" x14ac:dyDescent="0.2">
      <c r="A11" s="1" t="s">
        <v>14</v>
      </c>
      <c r="B11" s="1">
        <v>0.23449999999999999</v>
      </c>
      <c r="C11" s="1">
        <v>3.6700000000000003E-2</v>
      </c>
      <c r="D11">
        <f t="shared" si="0"/>
        <v>0.19779999999999998</v>
      </c>
      <c r="E11">
        <f t="shared" si="1"/>
        <v>50.55611729019212</v>
      </c>
      <c r="F11">
        <f t="shared" si="2"/>
        <v>1061.6784630940344</v>
      </c>
    </row>
    <row r="12" spans="1:6" x14ac:dyDescent="0.2">
      <c r="A12" s="1" t="s">
        <v>15</v>
      </c>
      <c r="B12" s="1">
        <v>0.10589999999999999</v>
      </c>
      <c r="C12" s="1">
        <v>3.6700000000000003E-2</v>
      </c>
      <c r="D12">
        <f t="shared" si="0"/>
        <v>6.9199999999999984E-2</v>
      </c>
      <c r="E12">
        <f t="shared" si="1"/>
        <v>144.50867052023125</v>
      </c>
      <c r="F12">
        <f t="shared" si="2"/>
        <v>3034.6820809248561</v>
      </c>
    </row>
    <row r="13" spans="1:6" x14ac:dyDescent="0.2">
      <c r="A13" s="1" t="s">
        <v>16</v>
      </c>
      <c r="B13" s="1">
        <v>4.6300000000000001E-2</v>
      </c>
      <c r="C13" s="1">
        <v>3.6700000000000003E-2</v>
      </c>
      <c r="D13">
        <f t="shared" si="0"/>
        <v>9.5999999999999974E-3</v>
      </c>
      <c r="E13">
        <f t="shared" si="1"/>
        <v>1041.666666666667</v>
      </c>
      <c r="F13">
        <f t="shared" si="2"/>
        <v>21875.000000000007</v>
      </c>
    </row>
    <row r="14" spans="1:6" x14ac:dyDescent="0.2">
      <c r="A14" s="1" t="s">
        <v>17</v>
      </c>
      <c r="B14" s="1">
        <v>0.1535</v>
      </c>
      <c r="C14" s="1">
        <v>3.6700000000000003E-2</v>
      </c>
      <c r="D14">
        <f t="shared" si="0"/>
        <v>0.11679999999999999</v>
      </c>
      <c r="E14">
        <f t="shared" si="1"/>
        <v>85.616438356164394</v>
      </c>
      <c r="F14">
        <f t="shared" si="2"/>
        <v>1797.9452054794524</v>
      </c>
    </row>
    <row r="15" spans="1:6" x14ac:dyDescent="0.2">
      <c r="A15" s="1" t="s">
        <v>18</v>
      </c>
      <c r="B15" s="1">
        <v>0.23300000000000001</v>
      </c>
      <c r="C15" s="1">
        <v>3.6700000000000003E-2</v>
      </c>
      <c r="D15">
        <f t="shared" si="0"/>
        <v>0.1963</v>
      </c>
      <c r="E15">
        <f t="shared" si="1"/>
        <v>50.942435048395311</v>
      </c>
      <c r="F15">
        <f t="shared" si="2"/>
        <v>1069.7911360163016</v>
      </c>
    </row>
    <row r="16" spans="1:6" x14ac:dyDescent="0.2">
      <c r="A16" s="1" t="s">
        <v>19</v>
      </c>
      <c r="B16" s="1">
        <v>0.18490000000000001</v>
      </c>
      <c r="C16" s="1">
        <v>3.6700000000000003E-2</v>
      </c>
      <c r="D16">
        <f t="shared" si="0"/>
        <v>0.1482</v>
      </c>
      <c r="E16">
        <f t="shared" si="1"/>
        <v>67.476383265856953</v>
      </c>
      <c r="F16">
        <f t="shared" si="2"/>
        <v>1417.0040485829959</v>
      </c>
    </row>
    <row r="17" spans="1:6" x14ac:dyDescent="0.2">
      <c r="A17" s="1" t="s">
        <v>20</v>
      </c>
      <c r="B17" s="1">
        <v>4.5900000000000003E-2</v>
      </c>
      <c r="C17" s="1">
        <v>3.6700000000000003E-2</v>
      </c>
      <c r="D17">
        <f t="shared" si="0"/>
        <v>9.1999999999999998E-3</v>
      </c>
      <c r="E17">
        <f t="shared" si="1"/>
        <v>1086.9565217391305</v>
      </c>
      <c r="F17">
        <f t="shared" si="2"/>
        <v>22826.08695652174</v>
      </c>
    </row>
    <row r="18" spans="1:6" x14ac:dyDescent="0.2">
      <c r="A18" s="1" t="s">
        <v>21</v>
      </c>
      <c r="B18" s="1">
        <v>0.1052</v>
      </c>
      <c r="C18" s="1">
        <v>3.6700000000000003E-2</v>
      </c>
      <c r="D18">
        <f t="shared" si="0"/>
        <v>6.8500000000000005E-2</v>
      </c>
      <c r="E18">
        <f t="shared" si="1"/>
        <v>145.98540145985399</v>
      </c>
      <c r="F18">
        <f t="shared" si="2"/>
        <v>3065.6934306569337</v>
      </c>
    </row>
    <row r="19" spans="1:6" x14ac:dyDescent="0.2">
      <c r="A19" s="1" t="s">
        <v>22</v>
      </c>
      <c r="B19" s="1">
        <v>6.6000000000000003E-2</v>
      </c>
      <c r="C19" s="1">
        <v>3.6700000000000003E-2</v>
      </c>
      <c r="D19">
        <f t="shared" si="0"/>
        <v>2.93E-2</v>
      </c>
      <c r="E19">
        <f t="shared" si="1"/>
        <v>341.29692832764505</v>
      </c>
      <c r="F19">
        <f t="shared" si="2"/>
        <v>7167.235494880546</v>
      </c>
    </row>
    <row r="20" spans="1:6" x14ac:dyDescent="0.2">
      <c r="A20" s="1" t="s">
        <v>23</v>
      </c>
      <c r="B20" s="1">
        <v>6.8400000000000002E-2</v>
      </c>
      <c r="C20" s="1">
        <v>3.6700000000000003E-2</v>
      </c>
      <c r="D20">
        <f t="shared" si="0"/>
        <v>3.1699999999999999E-2</v>
      </c>
      <c r="E20">
        <f t="shared" si="1"/>
        <v>315.45741324921136</v>
      </c>
      <c r="F20">
        <f t="shared" si="2"/>
        <v>6624.6056782334381</v>
      </c>
    </row>
    <row r="21" spans="1:6" x14ac:dyDescent="0.2">
      <c r="A21" s="1" t="s">
        <v>24</v>
      </c>
      <c r="B21" s="1">
        <v>0.1014</v>
      </c>
      <c r="C21" s="1">
        <v>3.6700000000000003E-2</v>
      </c>
      <c r="D21">
        <f t="shared" si="0"/>
        <v>6.4700000000000008E-2</v>
      </c>
      <c r="E21">
        <f t="shared" si="1"/>
        <v>154.55950540958267</v>
      </c>
      <c r="F21">
        <f t="shared" si="2"/>
        <v>3245.749613601236</v>
      </c>
    </row>
    <row r="22" spans="1:6" x14ac:dyDescent="0.2">
      <c r="A22" s="1" t="s">
        <v>25</v>
      </c>
      <c r="B22" s="1">
        <v>6.0900000000000003E-2</v>
      </c>
      <c r="C22" s="1">
        <v>3.6700000000000003E-2</v>
      </c>
      <c r="D22">
        <f t="shared" si="0"/>
        <v>2.4199999999999999E-2</v>
      </c>
      <c r="E22">
        <f t="shared" si="1"/>
        <v>413.22314049586777</v>
      </c>
      <c r="F22">
        <f t="shared" si="2"/>
        <v>8677.6859504132226</v>
      </c>
    </row>
    <row r="23" spans="1:6" x14ac:dyDescent="0.2">
      <c r="A23" s="1" t="s">
        <v>26</v>
      </c>
      <c r="B23" s="1">
        <v>0.1928</v>
      </c>
      <c r="C23" s="1">
        <v>3.6700000000000003E-2</v>
      </c>
      <c r="D23">
        <f t="shared" si="0"/>
        <v>0.15609999999999999</v>
      </c>
      <c r="E23">
        <f t="shared" si="1"/>
        <v>64.061499039077518</v>
      </c>
      <c r="F23">
        <f t="shared" si="2"/>
        <v>1345.291479820628</v>
      </c>
    </row>
    <row r="24" spans="1:6" x14ac:dyDescent="0.2">
      <c r="A24" s="1" t="s">
        <v>27</v>
      </c>
      <c r="B24" s="1">
        <v>6.2899999999999998E-2</v>
      </c>
      <c r="C24" s="1">
        <v>3.6700000000000003E-2</v>
      </c>
      <c r="D24">
        <f t="shared" si="0"/>
        <v>2.6199999999999994E-2</v>
      </c>
      <c r="E24">
        <f t="shared" si="1"/>
        <v>381.67938931297721</v>
      </c>
      <c r="F24">
        <f t="shared" si="2"/>
        <v>8015.2671755725214</v>
      </c>
    </row>
    <row r="25" spans="1:6" x14ac:dyDescent="0.2">
      <c r="A25" s="1" t="s">
        <v>28</v>
      </c>
      <c r="B25" s="1">
        <v>4.6699999999999998E-2</v>
      </c>
      <c r="C25" s="1">
        <v>3.6700000000000003E-2</v>
      </c>
      <c r="D25">
        <f t="shared" si="0"/>
        <v>9.999999999999995E-3</v>
      </c>
      <c r="E25">
        <f t="shared" si="1"/>
        <v>1000.0000000000005</v>
      </c>
      <c r="F25">
        <f t="shared" si="2"/>
        <v>21000.000000000011</v>
      </c>
    </row>
    <row r="26" spans="1:6" x14ac:dyDescent="0.2">
      <c r="A26" s="1" t="s">
        <v>29</v>
      </c>
      <c r="B26" s="1">
        <v>7.0400000000000004E-2</v>
      </c>
      <c r="C26" s="1">
        <v>3.6700000000000003E-2</v>
      </c>
      <c r="D26">
        <f t="shared" si="0"/>
        <v>3.3700000000000001E-2</v>
      </c>
      <c r="E26">
        <f t="shared" si="1"/>
        <v>296.73590504451039</v>
      </c>
      <c r="F26">
        <f t="shared" si="2"/>
        <v>6231.4540059347182</v>
      </c>
    </row>
    <row r="27" spans="1:6" x14ac:dyDescent="0.2">
      <c r="A27" s="1" t="s">
        <v>30</v>
      </c>
      <c r="B27" s="1">
        <v>0.12670000000000001</v>
      </c>
      <c r="C27" s="1">
        <v>3.6700000000000003E-2</v>
      </c>
      <c r="D27">
        <f t="shared" si="0"/>
        <v>0.09</v>
      </c>
      <c r="E27">
        <f t="shared" si="1"/>
        <v>111.11111111111111</v>
      </c>
      <c r="F27">
        <f t="shared" si="2"/>
        <v>2333.3333333333335</v>
      </c>
    </row>
    <row r="28" spans="1:6" x14ac:dyDescent="0.2">
      <c r="A28" s="1" t="s">
        <v>31</v>
      </c>
      <c r="B28" s="1">
        <v>0.19309999999999999</v>
      </c>
      <c r="C28" s="1">
        <v>3.6700000000000003E-2</v>
      </c>
      <c r="D28">
        <f t="shared" si="0"/>
        <v>0.15639999999999998</v>
      </c>
      <c r="E28">
        <f t="shared" si="1"/>
        <v>63.938618925831207</v>
      </c>
      <c r="F28">
        <f t="shared" si="2"/>
        <v>1342.7109974424554</v>
      </c>
    </row>
    <row r="29" spans="1:6" x14ac:dyDescent="0.2">
      <c r="A29" s="1" t="s">
        <v>32</v>
      </c>
      <c r="B29" s="1">
        <v>4.4600000000000001E-2</v>
      </c>
      <c r="C29" s="1">
        <v>3.6700000000000003E-2</v>
      </c>
      <c r="D29">
        <f t="shared" si="0"/>
        <v>7.8999999999999973E-3</v>
      </c>
      <c r="E29">
        <f t="shared" si="1"/>
        <v>1265.8227848101269</v>
      </c>
      <c r="F29">
        <f t="shared" si="2"/>
        <v>26582.278481012665</v>
      </c>
    </row>
    <row r="30" spans="1:6" x14ac:dyDescent="0.2">
      <c r="A30" s="1" t="s">
        <v>33</v>
      </c>
      <c r="B30" s="1">
        <v>0.1119</v>
      </c>
      <c r="C30" s="1">
        <v>3.6700000000000003E-2</v>
      </c>
      <c r="D30">
        <f t="shared" si="0"/>
        <v>7.5199999999999989E-2</v>
      </c>
      <c r="E30">
        <f t="shared" si="1"/>
        <v>132.97872340425533</v>
      </c>
      <c r="F30">
        <f t="shared" si="2"/>
        <v>2792.5531914893618</v>
      </c>
    </row>
    <row r="31" spans="1:6" x14ac:dyDescent="0.2">
      <c r="A31" s="1" t="s">
        <v>34</v>
      </c>
      <c r="B31" s="1">
        <v>9.7900000000000001E-2</v>
      </c>
      <c r="C31" s="1">
        <v>3.6700000000000003E-2</v>
      </c>
      <c r="D31">
        <f t="shared" si="0"/>
        <v>6.1199999999999997E-2</v>
      </c>
      <c r="E31">
        <f t="shared" si="1"/>
        <v>163.39869281045753</v>
      </c>
      <c r="F31">
        <f t="shared" si="2"/>
        <v>3431.3725490196084</v>
      </c>
    </row>
    <row r="32" spans="1:6" x14ac:dyDescent="0.2">
      <c r="A32" s="1" t="s">
        <v>35</v>
      </c>
      <c r="B32" s="1">
        <v>0.16539999999999999</v>
      </c>
      <c r="C32" s="1">
        <v>3.6700000000000003E-2</v>
      </c>
      <c r="D32">
        <f t="shared" si="0"/>
        <v>0.12869999999999998</v>
      </c>
      <c r="E32">
        <f t="shared" si="1"/>
        <v>77.700077700077713</v>
      </c>
      <c r="F32">
        <f t="shared" si="2"/>
        <v>1631.7016317016319</v>
      </c>
    </row>
    <row r="33" spans="1:6" x14ac:dyDescent="0.2">
      <c r="A33" s="1" t="s">
        <v>36</v>
      </c>
      <c r="B33" s="1">
        <v>0.12479999999999999</v>
      </c>
      <c r="C33" s="1">
        <v>3.6700000000000003E-2</v>
      </c>
      <c r="D33">
        <f t="shared" si="0"/>
        <v>8.8099999999999984E-2</v>
      </c>
      <c r="E33">
        <f t="shared" si="1"/>
        <v>113.50737797956869</v>
      </c>
      <c r="F33">
        <f t="shared" si="2"/>
        <v>2383.6549375709424</v>
      </c>
    </row>
    <row r="34" spans="1:6" x14ac:dyDescent="0.2">
      <c r="A34" s="1" t="s">
        <v>37</v>
      </c>
      <c r="B34" s="1">
        <v>0.1089</v>
      </c>
      <c r="C34" s="1">
        <v>3.6700000000000003E-2</v>
      </c>
      <c r="D34">
        <f t="shared" si="0"/>
        <v>7.2199999999999986E-2</v>
      </c>
      <c r="E34">
        <f t="shared" si="1"/>
        <v>138.50415512465378</v>
      </c>
      <c r="F34">
        <f t="shared" si="2"/>
        <v>2908.5872576177294</v>
      </c>
    </row>
    <row r="35" spans="1:6" x14ac:dyDescent="0.2">
      <c r="A35" s="1" t="s">
        <v>38</v>
      </c>
      <c r="B35" s="1">
        <v>0.37309999999999999</v>
      </c>
      <c r="C35" s="1">
        <v>3.6700000000000003E-2</v>
      </c>
      <c r="D35">
        <f t="shared" si="0"/>
        <v>0.33639999999999998</v>
      </c>
      <c r="E35">
        <f t="shared" si="1"/>
        <v>29.726516052318669</v>
      </c>
      <c r="F35">
        <f t="shared" si="2"/>
        <v>624.25683709869202</v>
      </c>
    </row>
    <row r="36" spans="1:6" x14ac:dyDescent="0.2">
      <c r="A36" s="1" t="s">
        <v>39</v>
      </c>
      <c r="B36" s="1">
        <v>3.6700000000000003E-2</v>
      </c>
      <c r="C36" s="1">
        <v>3.6700000000000003E-2</v>
      </c>
      <c r="D36">
        <f t="shared" si="0"/>
        <v>0</v>
      </c>
      <c r="E36" t="e">
        <f t="shared" si="1"/>
        <v>#DIV/0!</v>
      </c>
      <c r="F36" t="e">
        <f t="shared" si="2"/>
        <v>#DIV/0!</v>
      </c>
    </row>
    <row r="37" spans="1:6" x14ac:dyDescent="0.2">
      <c r="A37" s="1" t="s">
        <v>40</v>
      </c>
      <c r="B37" s="1">
        <v>4.7100000000000003E-2</v>
      </c>
      <c r="C37" s="1">
        <v>3.6700000000000003E-2</v>
      </c>
      <c r="D37">
        <f t="shared" si="0"/>
        <v>1.04E-2</v>
      </c>
      <c r="E37">
        <f t="shared" si="1"/>
        <v>961.53846153846155</v>
      </c>
      <c r="F37">
        <f t="shared" si="2"/>
        <v>20192.307692307691</v>
      </c>
    </row>
    <row r="38" spans="1:6" x14ac:dyDescent="0.2">
      <c r="A38" s="1" t="s">
        <v>41</v>
      </c>
      <c r="B38" s="1">
        <v>0.22600000000000001</v>
      </c>
      <c r="C38" s="1">
        <v>3.6700000000000003E-2</v>
      </c>
      <c r="D38">
        <f t="shared" si="0"/>
        <v>0.1893</v>
      </c>
      <c r="E38">
        <f t="shared" si="1"/>
        <v>52.826201796090864</v>
      </c>
      <c r="F38">
        <f t="shared" si="2"/>
        <v>1109.3502377179082</v>
      </c>
    </row>
    <row r="39" spans="1:6" x14ac:dyDescent="0.2">
      <c r="A39" s="1" t="s">
        <v>42</v>
      </c>
      <c r="B39" s="1">
        <v>0.20080000000000001</v>
      </c>
      <c r="C39" s="1">
        <v>3.6700000000000003E-2</v>
      </c>
      <c r="D39">
        <f t="shared" si="0"/>
        <v>0.1641</v>
      </c>
      <c r="E39">
        <f t="shared" si="1"/>
        <v>60.938452163315056</v>
      </c>
      <c r="F39">
        <f t="shared" si="2"/>
        <v>1279.7074954296161</v>
      </c>
    </row>
    <row r="40" spans="1:6" x14ac:dyDescent="0.2">
      <c r="A40" s="1" t="s">
        <v>43</v>
      </c>
      <c r="B40" s="1">
        <v>0.16819999999999999</v>
      </c>
      <c r="C40" s="1">
        <v>3.6700000000000003E-2</v>
      </c>
      <c r="D40">
        <f t="shared" si="0"/>
        <v>0.13149999999999998</v>
      </c>
      <c r="E40">
        <f t="shared" si="1"/>
        <v>76.04562737642587</v>
      </c>
      <c r="F40">
        <f t="shared" si="2"/>
        <v>1596.9581749049432</v>
      </c>
    </row>
    <row r="41" spans="1:6" x14ac:dyDescent="0.2">
      <c r="A41" s="1" t="s">
        <v>44</v>
      </c>
      <c r="B41" s="1">
        <v>5.45E-2</v>
      </c>
      <c r="C41" s="1">
        <v>3.6700000000000003E-2</v>
      </c>
      <c r="D41">
        <f t="shared" si="0"/>
        <v>1.7799999999999996E-2</v>
      </c>
      <c r="E41">
        <f t="shared" si="1"/>
        <v>561.79775280898889</v>
      </c>
      <c r="F41">
        <f t="shared" si="2"/>
        <v>11797.752808988767</v>
      </c>
    </row>
    <row r="42" spans="1:6" x14ac:dyDescent="0.2">
      <c r="A42" s="1" t="s">
        <v>45</v>
      </c>
      <c r="B42" s="1">
        <v>8.6300000000000002E-2</v>
      </c>
      <c r="C42" s="1">
        <v>3.6700000000000003E-2</v>
      </c>
      <c r="D42">
        <f t="shared" si="0"/>
        <v>4.9599999999999998E-2</v>
      </c>
      <c r="E42">
        <f t="shared" si="1"/>
        <v>201.61290322580646</v>
      </c>
      <c r="F42">
        <f t="shared" si="2"/>
        <v>4233.8709677419356</v>
      </c>
    </row>
    <row r="43" spans="1:6" x14ac:dyDescent="0.2">
      <c r="A43" s="1" t="s">
        <v>46</v>
      </c>
      <c r="B43" s="1">
        <v>9.5100000000000004E-2</v>
      </c>
      <c r="C43" s="1">
        <v>3.6700000000000003E-2</v>
      </c>
      <c r="D43">
        <f t="shared" si="0"/>
        <v>5.8400000000000001E-2</v>
      </c>
      <c r="E43">
        <f t="shared" si="1"/>
        <v>171.23287671232876</v>
      </c>
      <c r="F43">
        <f t="shared" si="2"/>
        <v>3595.8904109589039</v>
      </c>
    </row>
    <row r="44" spans="1:6" x14ac:dyDescent="0.2">
      <c r="A44" s="1" t="s">
        <v>47</v>
      </c>
      <c r="B44" s="1">
        <v>0.19719999999999999</v>
      </c>
      <c r="C44" s="1">
        <v>3.6700000000000003E-2</v>
      </c>
      <c r="D44">
        <f t="shared" si="0"/>
        <v>0.16049999999999998</v>
      </c>
      <c r="E44">
        <f t="shared" si="1"/>
        <v>62.305295950155774</v>
      </c>
      <c r="F44">
        <f t="shared" si="2"/>
        <v>1308.4112149532712</v>
      </c>
    </row>
    <row r="45" spans="1:6" x14ac:dyDescent="0.2">
      <c r="A45" s="1" t="s">
        <v>48</v>
      </c>
      <c r="B45" s="1">
        <v>8.3699999999999997E-2</v>
      </c>
      <c r="C45" s="1">
        <v>3.6700000000000003E-2</v>
      </c>
      <c r="D45">
        <f t="shared" si="0"/>
        <v>4.6999999999999993E-2</v>
      </c>
      <c r="E45">
        <f t="shared" si="1"/>
        <v>212.76595744680853</v>
      </c>
      <c r="F45">
        <f t="shared" si="2"/>
        <v>4468.0851063829787</v>
      </c>
    </row>
    <row r="46" spans="1:6" x14ac:dyDescent="0.2">
      <c r="A46" s="1" t="s">
        <v>49</v>
      </c>
      <c r="B46" s="1">
        <v>0.14729999999999999</v>
      </c>
      <c r="C46" s="1">
        <v>3.6700000000000003E-2</v>
      </c>
      <c r="D46">
        <f t="shared" si="0"/>
        <v>0.11059999999999998</v>
      </c>
      <c r="E46">
        <f t="shared" si="1"/>
        <v>90.415913200723352</v>
      </c>
      <c r="F46">
        <f t="shared" si="2"/>
        <v>1898.7341772151904</v>
      </c>
    </row>
    <row r="47" spans="1:6" x14ac:dyDescent="0.2">
      <c r="A47" s="1" t="s">
        <v>50</v>
      </c>
      <c r="B47" s="1">
        <v>0.1888</v>
      </c>
      <c r="C47" s="1">
        <v>3.6700000000000003E-2</v>
      </c>
      <c r="D47">
        <f t="shared" si="0"/>
        <v>0.15209999999999999</v>
      </c>
      <c r="E47">
        <f t="shared" si="1"/>
        <v>65.74621959237345</v>
      </c>
      <c r="F47">
        <f t="shared" si="2"/>
        <v>1380.6706114398426</v>
      </c>
    </row>
    <row r="48" spans="1:6" x14ac:dyDescent="0.2">
      <c r="A48" s="1" t="s">
        <v>51</v>
      </c>
      <c r="B48" s="1">
        <v>3.6999999999999998E-2</v>
      </c>
      <c r="C48" s="1">
        <v>3.6700000000000003E-2</v>
      </c>
      <c r="D48">
        <f t="shared" si="0"/>
        <v>2.9999999999999472E-4</v>
      </c>
      <c r="E48">
        <f t="shared" si="1"/>
        <v>33333.333333333918</v>
      </c>
      <c r="F48">
        <f t="shared" si="2"/>
        <v>700000.00000001222</v>
      </c>
    </row>
    <row r="49" spans="1:6" x14ac:dyDescent="0.2">
      <c r="A49" s="1" t="s">
        <v>52</v>
      </c>
      <c r="B49" s="1">
        <v>4.7699999999999999E-2</v>
      </c>
      <c r="C49" s="1">
        <v>3.6700000000000003E-2</v>
      </c>
      <c r="D49">
        <f t="shared" si="0"/>
        <v>1.0999999999999996E-2</v>
      </c>
      <c r="E49">
        <f t="shared" si="1"/>
        <v>909.09090909090946</v>
      </c>
      <c r="F49">
        <f t="shared" si="2"/>
        <v>19090.909090909099</v>
      </c>
    </row>
    <row r="50" spans="1:6" x14ac:dyDescent="0.2">
      <c r="A50" s="1" t="s">
        <v>53</v>
      </c>
      <c r="B50" s="1">
        <v>0.62509999999999999</v>
      </c>
      <c r="C50" s="1">
        <v>3.6700000000000003E-2</v>
      </c>
      <c r="D50">
        <f t="shared" si="0"/>
        <v>0.58840000000000003</v>
      </c>
      <c r="E50">
        <f t="shared" si="1"/>
        <v>16.995241332426918</v>
      </c>
      <c r="F50">
        <f t="shared" si="2"/>
        <v>356.90006798096528</v>
      </c>
    </row>
    <row r="51" spans="1:6" x14ac:dyDescent="0.2">
      <c r="A51" s="1" t="s">
        <v>54</v>
      </c>
      <c r="B51" s="1">
        <v>6.3100000000000003E-2</v>
      </c>
      <c r="C51" s="1">
        <v>3.6700000000000003E-2</v>
      </c>
      <c r="D51">
        <f t="shared" si="0"/>
        <v>2.64E-2</v>
      </c>
      <c r="E51">
        <f t="shared" si="1"/>
        <v>378.78787878787881</v>
      </c>
      <c r="F51">
        <f t="shared" si="2"/>
        <v>7954.545454545455</v>
      </c>
    </row>
    <row r="52" spans="1:6" x14ac:dyDescent="0.2">
      <c r="A52" s="1" t="s">
        <v>55</v>
      </c>
      <c r="B52" s="1">
        <v>0.10249999999999999</v>
      </c>
      <c r="C52" s="1">
        <v>3.6700000000000003E-2</v>
      </c>
      <c r="D52">
        <f t="shared" si="0"/>
        <v>6.5799999999999997E-2</v>
      </c>
      <c r="E52">
        <f t="shared" si="1"/>
        <v>151.9756838905775</v>
      </c>
      <c r="F52">
        <f t="shared" si="2"/>
        <v>3191.4893617021276</v>
      </c>
    </row>
    <row r="53" spans="1:6" x14ac:dyDescent="0.2">
      <c r="A53" s="1" t="s">
        <v>56</v>
      </c>
      <c r="B53" s="1">
        <v>0.10979999999999999</v>
      </c>
      <c r="C53" s="1">
        <v>3.6700000000000003E-2</v>
      </c>
      <c r="D53">
        <f t="shared" si="0"/>
        <v>7.3099999999999998E-2</v>
      </c>
      <c r="E53">
        <f t="shared" si="1"/>
        <v>136.79890560875512</v>
      </c>
      <c r="F53">
        <f t="shared" si="2"/>
        <v>2872.7770177838574</v>
      </c>
    </row>
    <row r="54" spans="1:6" x14ac:dyDescent="0.2">
      <c r="A54" s="1" t="s">
        <v>57</v>
      </c>
      <c r="B54" s="1">
        <v>3.7600000000000001E-2</v>
      </c>
      <c r="C54" s="1">
        <v>3.6700000000000003E-2</v>
      </c>
      <c r="D54">
        <f t="shared" si="0"/>
        <v>8.9999999999999802E-4</v>
      </c>
      <c r="E54">
        <f t="shared" si="1"/>
        <v>11111.111111111135</v>
      </c>
      <c r="F54">
        <f t="shared" si="2"/>
        <v>233333.33333333384</v>
      </c>
    </row>
    <row r="55" spans="1:6" x14ac:dyDescent="0.2">
      <c r="A55" s="1" t="s">
        <v>58</v>
      </c>
      <c r="B55" s="1">
        <v>7.8700000000000006E-2</v>
      </c>
      <c r="C55" s="1">
        <v>3.6700000000000003E-2</v>
      </c>
      <c r="D55">
        <f t="shared" si="0"/>
        <v>4.2000000000000003E-2</v>
      </c>
      <c r="E55">
        <f t="shared" si="1"/>
        <v>238.09523809523807</v>
      </c>
      <c r="F55">
        <f t="shared" si="2"/>
        <v>5000</v>
      </c>
    </row>
    <row r="56" spans="1:6" x14ac:dyDescent="0.2">
      <c r="A56" s="1" t="s">
        <v>59</v>
      </c>
      <c r="B56" s="1">
        <v>0.2036</v>
      </c>
      <c r="C56" s="1">
        <v>3.6700000000000003E-2</v>
      </c>
      <c r="D56">
        <f t="shared" si="0"/>
        <v>0.16689999999999999</v>
      </c>
      <c r="E56">
        <f t="shared" si="1"/>
        <v>59.916117435590174</v>
      </c>
      <c r="F56">
        <f t="shared" si="2"/>
        <v>1258.2384661473936</v>
      </c>
    </row>
    <row r="57" spans="1:6" x14ac:dyDescent="0.2">
      <c r="A57" s="1" t="s">
        <v>60</v>
      </c>
      <c r="B57" s="1">
        <v>8.7499999999999994E-2</v>
      </c>
      <c r="C57" s="1">
        <v>3.6700000000000003E-2</v>
      </c>
      <c r="D57">
        <f t="shared" si="0"/>
        <v>5.0799999999999991E-2</v>
      </c>
      <c r="E57">
        <f t="shared" si="1"/>
        <v>196.85039370078744</v>
      </c>
      <c r="F57">
        <f t="shared" si="2"/>
        <v>4133.8582677165359</v>
      </c>
    </row>
    <row r="58" spans="1:6" x14ac:dyDescent="0.2">
      <c r="A58" s="1" t="s">
        <v>61</v>
      </c>
      <c r="B58" s="1">
        <v>9.64E-2</v>
      </c>
      <c r="C58" s="1">
        <v>3.6700000000000003E-2</v>
      </c>
      <c r="D58">
        <f t="shared" si="0"/>
        <v>5.9699999999999996E-2</v>
      </c>
      <c r="E58">
        <f t="shared" si="1"/>
        <v>167.50418760469012</v>
      </c>
      <c r="F58">
        <f t="shared" si="2"/>
        <v>3517.5879396984924</v>
      </c>
    </row>
    <row r="59" spans="1:6" x14ac:dyDescent="0.2">
      <c r="A59" s="1" t="s">
        <v>62</v>
      </c>
      <c r="B59" s="1">
        <v>0.2397</v>
      </c>
      <c r="C59" s="1">
        <v>3.6700000000000003E-2</v>
      </c>
      <c r="D59">
        <f t="shared" si="0"/>
        <v>0.20299999999999999</v>
      </c>
      <c r="E59">
        <f t="shared" si="1"/>
        <v>49.26108374384237</v>
      </c>
      <c r="F59">
        <f t="shared" si="2"/>
        <v>1034.4827586206898</v>
      </c>
    </row>
    <row r="60" spans="1:6" x14ac:dyDescent="0.2">
      <c r="A60" s="1" t="s">
        <v>63</v>
      </c>
      <c r="B60" s="1">
        <v>3.8100000000000002E-2</v>
      </c>
      <c r="C60" s="1">
        <v>3.6700000000000003E-2</v>
      </c>
      <c r="D60">
        <f t="shared" si="0"/>
        <v>1.3999999999999985E-3</v>
      </c>
      <c r="E60">
        <f t="shared" si="1"/>
        <v>7142.8571428571504</v>
      </c>
      <c r="F60">
        <f t="shared" si="2"/>
        <v>150000.00000000015</v>
      </c>
    </row>
    <row r="61" spans="1:6" x14ac:dyDescent="0.2">
      <c r="A61" s="1" t="s">
        <v>64</v>
      </c>
      <c r="B61" s="1">
        <v>4.7899999999999998E-2</v>
      </c>
      <c r="C61" s="1">
        <v>3.6700000000000003E-2</v>
      </c>
      <c r="D61">
        <f t="shared" si="0"/>
        <v>1.1199999999999995E-2</v>
      </c>
      <c r="E61">
        <f t="shared" si="1"/>
        <v>892.85714285714323</v>
      </c>
      <c r="F61">
        <f t="shared" si="2"/>
        <v>18750.000000000007</v>
      </c>
    </row>
    <row r="62" spans="1:6" x14ac:dyDescent="0.2">
      <c r="A62" s="1" t="s">
        <v>65</v>
      </c>
      <c r="B62" s="1">
        <v>4.2599999999999999E-2</v>
      </c>
      <c r="C62" s="1">
        <v>3.6700000000000003E-2</v>
      </c>
      <c r="D62">
        <f t="shared" si="0"/>
        <v>5.8999999999999955E-3</v>
      </c>
      <c r="E62">
        <f t="shared" si="1"/>
        <v>1694.9152542372894</v>
      </c>
      <c r="F62">
        <f t="shared" si="2"/>
        <v>35593.220338983076</v>
      </c>
    </row>
    <row r="63" spans="1:6" x14ac:dyDescent="0.2">
      <c r="A63" s="1" t="s">
        <v>66</v>
      </c>
      <c r="B63" s="1">
        <v>0.1447</v>
      </c>
      <c r="C63" s="1">
        <v>3.6700000000000003E-2</v>
      </c>
      <c r="D63">
        <f t="shared" si="0"/>
        <v>0.10799999999999998</v>
      </c>
      <c r="E63">
        <f t="shared" si="1"/>
        <v>92.592592592592609</v>
      </c>
      <c r="F63">
        <f t="shared" si="2"/>
        <v>1944.4444444444448</v>
      </c>
    </row>
    <row r="64" spans="1:6" x14ac:dyDescent="0.2">
      <c r="A64" s="1" t="s">
        <v>67</v>
      </c>
      <c r="B64" s="1">
        <v>0.14660000000000001</v>
      </c>
      <c r="C64" s="1">
        <v>3.6700000000000003E-2</v>
      </c>
      <c r="D64">
        <f t="shared" si="0"/>
        <v>0.1099</v>
      </c>
      <c r="E64">
        <f t="shared" si="1"/>
        <v>90.991810737033674</v>
      </c>
      <c r="F64">
        <f t="shared" si="2"/>
        <v>1910.8280254777071</v>
      </c>
    </row>
    <row r="65" spans="1:6" x14ac:dyDescent="0.2">
      <c r="A65" s="1" t="s">
        <v>68</v>
      </c>
      <c r="B65" s="1">
        <v>0.1275</v>
      </c>
      <c r="C65" s="1">
        <v>3.6700000000000003E-2</v>
      </c>
      <c r="D65">
        <f t="shared" si="0"/>
        <v>9.0799999999999992E-2</v>
      </c>
      <c r="E65">
        <f t="shared" si="1"/>
        <v>110.13215859030838</v>
      </c>
      <c r="F65">
        <f t="shared" si="2"/>
        <v>2312.775330396476</v>
      </c>
    </row>
    <row r="66" spans="1:6" x14ac:dyDescent="0.2">
      <c r="A66" s="1" t="s">
        <v>69</v>
      </c>
      <c r="B66" s="1">
        <v>0.27779999999999999</v>
      </c>
      <c r="C66" s="1">
        <v>3.6700000000000003E-2</v>
      </c>
      <c r="D66">
        <f t="shared" si="0"/>
        <v>0.24109999999999998</v>
      </c>
      <c r="E66">
        <f t="shared" si="1"/>
        <v>41.476565740356705</v>
      </c>
      <c r="F66">
        <f t="shared" si="2"/>
        <v>871.0078805474908</v>
      </c>
    </row>
    <row r="67" spans="1:6" x14ac:dyDescent="0.2">
      <c r="A67" s="1" t="s">
        <v>70</v>
      </c>
      <c r="B67" s="1">
        <v>0.16350000000000001</v>
      </c>
      <c r="C67" s="1">
        <v>3.6700000000000003E-2</v>
      </c>
      <c r="D67">
        <f t="shared" ref="D67:D97" si="3">B67-C67</f>
        <v>0.1268</v>
      </c>
      <c r="E67">
        <f t="shared" ref="E67:E97" si="4">(0.1*100)/D67</f>
        <v>78.864353312302839</v>
      </c>
      <c r="F67">
        <f t="shared" ref="F67:F97" si="5">E67*21</f>
        <v>1656.1514195583595</v>
      </c>
    </row>
    <row r="68" spans="1:6" x14ac:dyDescent="0.2">
      <c r="A68" s="1" t="s">
        <v>71</v>
      </c>
      <c r="B68" s="1">
        <v>0.29749999999999999</v>
      </c>
      <c r="C68" s="1">
        <v>3.6700000000000003E-2</v>
      </c>
      <c r="D68">
        <f t="shared" si="3"/>
        <v>0.26079999999999998</v>
      </c>
      <c r="E68">
        <f t="shared" si="4"/>
        <v>38.343558282208591</v>
      </c>
      <c r="F68">
        <f t="shared" si="5"/>
        <v>805.21472392638043</v>
      </c>
    </row>
    <row r="69" spans="1:6" x14ac:dyDescent="0.2">
      <c r="A69" s="1" t="s">
        <v>72</v>
      </c>
      <c r="B69" s="1">
        <v>0.185</v>
      </c>
      <c r="C69" s="1">
        <v>3.6700000000000003E-2</v>
      </c>
      <c r="D69">
        <f t="shared" si="3"/>
        <v>0.14829999999999999</v>
      </c>
      <c r="E69">
        <f t="shared" si="4"/>
        <v>67.430883344571825</v>
      </c>
      <c r="F69">
        <f t="shared" si="5"/>
        <v>1416.0485502360084</v>
      </c>
    </row>
    <row r="70" spans="1:6" x14ac:dyDescent="0.2">
      <c r="A70" s="1" t="s">
        <v>73</v>
      </c>
      <c r="B70" s="1">
        <v>8.09E-2</v>
      </c>
      <c r="C70" s="1">
        <v>3.6700000000000003E-2</v>
      </c>
      <c r="D70">
        <f t="shared" si="3"/>
        <v>4.4199999999999996E-2</v>
      </c>
      <c r="E70">
        <f t="shared" si="4"/>
        <v>226.24434389140274</v>
      </c>
      <c r="F70">
        <f t="shared" si="5"/>
        <v>4751.1312217194572</v>
      </c>
    </row>
    <row r="71" spans="1:6" x14ac:dyDescent="0.2">
      <c r="A71" s="1" t="s">
        <v>74</v>
      </c>
      <c r="B71" s="1">
        <v>0.2515</v>
      </c>
      <c r="C71" s="1">
        <v>3.6700000000000003E-2</v>
      </c>
      <c r="D71">
        <f t="shared" si="3"/>
        <v>0.21479999999999999</v>
      </c>
      <c r="E71">
        <f t="shared" si="4"/>
        <v>46.554934823091251</v>
      </c>
      <c r="F71">
        <f t="shared" si="5"/>
        <v>977.65363128491629</v>
      </c>
    </row>
    <row r="72" spans="1:6" x14ac:dyDescent="0.2">
      <c r="A72" s="1" t="s">
        <v>75</v>
      </c>
      <c r="B72" s="1">
        <v>3.8199999999999998E-2</v>
      </c>
      <c r="C72" s="1">
        <v>3.6700000000000003E-2</v>
      </c>
      <c r="D72">
        <f t="shared" si="3"/>
        <v>1.4999999999999944E-3</v>
      </c>
      <c r="E72">
        <f t="shared" si="4"/>
        <v>6666.6666666666915</v>
      </c>
      <c r="F72">
        <f t="shared" si="5"/>
        <v>140000.00000000052</v>
      </c>
    </row>
    <row r="73" spans="1:6" x14ac:dyDescent="0.2">
      <c r="A73" s="1" t="s">
        <v>76</v>
      </c>
      <c r="B73" s="1">
        <v>4.7600000000000003E-2</v>
      </c>
      <c r="C73" s="1">
        <v>3.6700000000000003E-2</v>
      </c>
      <c r="D73">
        <f t="shared" si="3"/>
        <v>1.09E-2</v>
      </c>
      <c r="E73">
        <f t="shared" si="4"/>
        <v>917.43119266055044</v>
      </c>
      <c r="F73">
        <f t="shared" si="5"/>
        <v>19266.055045871559</v>
      </c>
    </row>
    <row r="74" spans="1:6" x14ac:dyDescent="0.2">
      <c r="A74" s="1" t="s">
        <v>77</v>
      </c>
      <c r="B74" s="1">
        <v>0.1389</v>
      </c>
      <c r="C74" s="1">
        <v>3.6700000000000003E-2</v>
      </c>
      <c r="D74">
        <f t="shared" si="3"/>
        <v>0.10219999999999999</v>
      </c>
      <c r="E74">
        <f t="shared" si="4"/>
        <v>97.847358121330743</v>
      </c>
      <c r="F74">
        <f t="shared" si="5"/>
        <v>2054.7945205479455</v>
      </c>
    </row>
    <row r="75" spans="1:6" x14ac:dyDescent="0.2">
      <c r="A75" s="1" t="s">
        <v>78</v>
      </c>
      <c r="B75" s="1">
        <v>0.19839999999999999</v>
      </c>
      <c r="C75" s="1">
        <v>3.6700000000000003E-2</v>
      </c>
      <c r="D75">
        <f t="shared" si="3"/>
        <v>0.16169999999999998</v>
      </c>
      <c r="E75">
        <f t="shared" si="4"/>
        <v>61.842918985776137</v>
      </c>
      <c r="F75">
        <f t="shared" si="5"/>
        <v>1298.7012987012988</v>
      </c>
    </row>
    <row r="76" spans="1:6" x14ac:dyDescent="0.2">
      <c r="A76" s="1" t="s">
        <v>79</v>
      </c>
      <c r="B76" s="1">
        <v>0.16020000000000001</v>
      </c>
      <c r="C76" s="1">
        <v>3.6700000000000003E-2</v>
      </c>
      <c r="D76">
        <f t="shared" si="3"/>
        <v>0.1235</v>
      </c>
      <c r="E76">
        <f t="shared" si="4"/>
        <v>80.97165991902834</v>
      </c>
      <c r="F76">
        <f t="shared" si="5"/>
        <v>1700.4048582995952</v>
      </c>
    </row>
    <row r="77" spans="1:6" x14ac:dyDescent="0.2">
      <c r="A77" s="1" t="s">
        <v>80</v>
      </c>
      <c r="B77" s="1">
        <v>0.1293</v>
      </c>
      <c r="C77" s="1">
        <v>3.6700000000000003E-2</v>
      </c>
      <c r="D77">
        <f t="shared" si="3"/>
        <v>9.2599999999999988E-2</v>
      </c>
      <c r="E77">
        <f t="shared" si="4"/>
        <v>107.99136069114472</v>
      </c>
      <c r="F77">
        <f t="shared" si="5"/>
        <v>2267.818574514039</v>
      </c>
    </row>
    <row r="78" spans="1:6" x14ac:dyDescent="0.2">
      <c r="A78" s="1" t="s">
        <v>81</v>
      </c>
      <c r="B78" s="1">
        <v>7.8E-2</v>
      </c>
      <c r="C78" s="1">
        <v>3.6700000000000003E-2</v>
      </c>
      <c r="D78">
        <f t="shared" si="3"/>
        <v>4.1299999999999996E-2</v>
      </c>
      <c r="E78">
        <f t="shared" si="4"/>
        <v>242.13075060532691</v>
      </c>
      <c r="F78">
        <f t="shared" si="5"/>
        <v>5084.7457627118647</v>
      </c>
    </row>
    <row r="79" spans="1:6" x14ac:dyDescent="0.2">
      <c r="A79" s="1" t="s">
        <v>82</v>
      </c>
      <c r="B79" s="1">
        <v>0.1022</v>
      </c>
      <c r="C79" s="1">
        <v>3.6700000000000003E-2</v>
      </c>
      <c r="D79">
        <f t="shared" si="3"/>
        <v>6.5500000000000003E-2</v>
      </c>
      <c r="E79">
        <f t="shared" si="4"/>
        <v>152.67175572519082</v>
      </c>
      <c r="F79">
        <f t="shared" si="5"/>
        <v>3206.1068702290072</v>
      </c>
    </row>
    <row r="80" spans="1:6" x14ac:dyDescent="0.2">
      <c r="A80" s="1" t="s">
        <v>83</v>
      </c>
      <c r="B80" s="1">
        <v>8.8700000000000001E-2</v>
      </c>
      <c r="C80" s="1">
        <v>3.6700000000000003E-2</v>
      </c>
      <c r="D80">
        <f t="shared" si="3"/>
        <v>5.1999999999999998E-2</v>
      </c>
      <c r="E80">
        <f t="shared" si="4"/>
        <v>192.30769230769232</v>
      </c>
      <c r="F80">
        <f t="shared" si="5"/>
        <v>4038.4615384615386</v>
      </c>
    </row>
    <row r="81" spans="1:6" x14ac:dyDescent="0.2">
      <c r="A81" s="1" t="s">
        <v>84</v>
      </c>
      <c r="B81" s="1">
        <v>0.1139</v>
      </c>
      <c r="C81" s="1">
        <v>3.6700000000000003E-2</v>
      </c>
      <c r="D81">
        <f t="shared" si="3"/>
        <v>7.7199999999999991E-2</v>
      </c>
      <c r="E81">
        <f t="shared" si="4"/>
        <v>129.53367875647669</v>
      </c>
      <c r="F81">
        <f t="shared" si="5"/>
        <v>2720.2072538860107</v>
      </c>
    </row>
    <row r="82" spans="1:6" x14ac:dyDescent="0.2">
      <c r="A82" s="1" t="s">
        <v>85</v>
      </c>
      <c r="B82" s="1">
        <v>0.113</v>
      </c>
      <c r="C82" s="1">
        <v>3.6700000000000003E-2</v>
      </c>
      <c r="D82">
        <f t="shared" si="3"/>
        <v>7.6300000000000007E-2</v>
      </c>
      <c r="E82">
        <f t="shared" si="4"/>
        <v>131.06159895150719</v>
      </c>
      <c r="F82">
        <f t="shared" si="5"/>
        <v>2752.2935779816512</v>
      </c>
    </row>
    <row r="83" spans="1:6" x14ac:dyDescent="0.2">
      <c r="A83" s="1" t="s">
        <v>86</v>
      </c>
      <c r="B83" s="1">
        <v>0.114</v>
      </c>
      <c r="C83" s="1">
        <v>3.6700000000000003E-2</v>
      </c>
      <c r="D83">
        <f t="shared" si="3"/>
        <v>7.7300000000000008E-2</v>
      </c>
      <c r="E83">
        <f t="shared" si="4"/>
        <v>129.36610608020698</v>
      </c>
      <c r="F83">
        <f t="shared" si="5"/>
        <v>2716.6882276843467</v>
      </c>
    </row>
    <row r="84" spans="1:6" x14ac:dyDescent="0.2">
      <c r="A84" s="1" t="s">
        <v>87</v>
      </c>
      <c r="B84" s="1">
        <v>3.8399999999999997E-2</v>
      </c>
      <c r="C84" s="1">
        <v>3.6700000000000003E-2</v>
      </c>
      <c r="D84">
        <f t="shared" si="3"/>
        <v>1.6999999999999932E-3</v>
      </c>
      <c r="E84">
        <f t="shared" si="4"/>
        <v>5882.3529411764939</v>
      </c>
      <c r="F84">
        <f t="shared" si="5"/>
        <v>123529.41176470637</v>
      </c>
    </row>
    <row r="85" spans="1:6" x14ac:dyDescent="0.2">
      <c r="A85" s="1" t="s">
        <v>88</v>
      </c>
      <c r="B85" s="1">
        <v>4.8099999999999997E-2</v>
      </c>
      <c r="C85" s="1">
        <v>3.6700000000000003E-2</v>
      </c>
      <c r="D85">
        <f t="shared" si="3"/>
        <v>1.1399999999999993E-2</v>
      </c>
      <c r="E85">
        <f t="shared" si="4"/>
        <v>877.19298245614084</v>
      </c>
      <c r="F85">
        <f t="shared" si="5"/>
        <v>18421.052631578958</v>
      </c>
    </row>
    <row r="86" spans="1:6" x14ac:dyDescent="0.2">
      <c r="A86" s="1" t="s">
        <v>89</v>
      </c>
      <c r="B86" s="1">
        <v>0.16539999999999999</v>
      </c>
      <c r="C86" s="1">
        <v>3.6700000000000003E-2</v>
      </c>
      <c r="D86">
        <f t="shared" si="3"/>
        <v>0.12869999999999998</v>
      </c>
      <c r="E86">
        <f t="shared" si="4"/>
        <v>77.700077700077713</v>
      </c>
      <c r="F86">
        <f t="shared" si="5"/>
        <v>1631.7016317016319</v>
      </c>
    </row>
    <row r="87" spans="1:6" x14ac:dyDescent="0.2">
      <c r="A87" s="1" t="s">
        <v>90</v>
      </c>
      <c r="B87" s="1">
        <v>0.1804</v>
      </c>
      <c r="C87" s="1">
        <v>3.6700000000000003E-2</v>
      </c>
      <c r="D87">
        <f t="shared" si="3"/>
        <v>0.14369999999999999</v>
      </c>
      <c r="E87">
        <f t="shared" si="4"/>
        <v>69.589422407794018</v>
      </c>
      <c r="F87">
        <f t="shared" si="5"/>
        <v>1461.3778705636744</v>
      </c>
    </row>
    <row r="88" spans="1:6" x14ac:dyDescent="0.2">
      <c r="A88" s="1" t="s">
        <v>91</v>
      </c>
      <c r="B88" s="1">
        <v>0.18729999999999999</v>
      </c>
      <c r="C88" s="1">
        <v>3.6700000000000003E-2</v>
      </c>
      <c r="D88">
        <f t="shared" si="3"/>
        <v>0.15059999999999998</v>
      </c>
      <c r="E88">
        <f t="shared" si="4"/>
        <v>66.401062416998684</v>
      </c>
      <c r="F88">
        <f t="shared" si="5"/>
        <v>1394.4223107569724</v>
      </c>
    </row>
    <row r="89" spans="1:6" x14ac:dyDescent="0.2">
      <c r="A89" s="1" t="s">
        <v>92</v>
      </c>
      <c r="B89" s="1">
        <v>0.1239</v>
      </c>
      <c r="C89" s="1">
        <v>3.6700000000000003E-2</v>
      </c>
      <c r="D89">
        <f t="shared" si="3"/>
        <v>8.72E-2</v>
      </c>
      <c r="E89">
        <f t="shared" si="4"/>
        <v>114.6788990825688</v>
      </c>
      <c r="F89">
        <f t="shared" si="5"/>
        <v>2408.2568807339449</v>
      </c>
    </row>
    <row r="90" spans="1:6" x14ac:dyDescent="0.2">
      <c r="A90" s="1" t="s">
        <v>93</v>
      </c>
      <c r="B90" s="1">
        <v>0.13420000000000001</v>
      </c>
      <c r="C90" s="1">
        <v>3.6700000000000003E-2</v>
      </c>
      <c r="D90">
        <f t="shared" si="3"/>
        <v>9.7500000000000003E-2</v>
      </c>
      <c r="E90">
        <f t="shared" si="4"/>
        <v>102.56410256410255</v>
      </c>
      <c r="F90">
        <f t="shared" si="5"/>
        <v>2153.8461538461538</v>
      </c>
    </row>
    <row r="91" spans="1:6" x14ac:dyDescent="0.2">
      <c r="A91" s="1" t="s">
        <v>94</v>
      </c>
      <c r="B91" s="1">
        <v>0.26900000000000002</v>
      </c>
      <c r="C91" s="1">
        <v>3.6700000000000003E-2</v>
      </c>
      <c r="D91">
        <f t="shared" si="3"/>
        <v>0.23230000000000001</v>
      </c>
      <c r="E91">
        <f t="shared" si="4"/>
        <v>43.047783039173481</v>
      </c>
      <c r="F91">
        <f t="shared" si="5"/>
        <v>904.00344382264313</v>
      </c>
    </row>
    <row r="92" spans="1:6" x14ac:dyDescent="0.2">
      <c r="A92" s="1" t="s">
        <v>95</v>
      </c>
      <c r="B92" s="1">
        <v>0.22969999999999999</v>
      </c>
      <c r="C92" s="1">
        <v>3.6700000000000003E-2</v>
      </c>
      <c r="D92">
        <f t="shared" si="3"/>
        <v>0.19299999999999998</v>
      </c>
      <c r="E92">
        <f t="shared" si="4"/>
        <v>51.81347150259068</v>
      </c>
      <c r="F92">
        <f t="shared" si="5"/>
        <v>1088.0829015544043</v>
      </c>
    </row>
    <row r="93" spans="1:6" x14ac:dyDescent="0.2">
      <c r="A93" s="1" t="s">
        <v>96</v>
      </c>
      <c r="B93" s="1">
        <v>0.16</v>
      </c>
      <c r="C93" s="1">
        <v>3.6700000000000003E-2</v>
      </c>
      <c r="D93">
        <f t="shared" si="3"/>
        <v>0.12329999999999999</v>
      </c>
      <c r="E93">
        <f t="shared" si="4"/>
        <v>81.103000811030014</v>
      </c>
      <c r="F93">
        <f t="shared" si="5"/>
        <v>1703.1630170316303</v>
      </c>
    </row>
    <row r="94" spans="1:6" x14ac:dyDescent="0.2">
      <c r="A94" s="1" t="s">
        <v>97</v>
      </c>
      <c r="B94" s="1">
        <v>0.1802</v>
      </c>
      <c r="C94" s="1">
        <v>3.6700000000000003E-2</v>
      </c>
      <c r="D94">
        <f t="shared" si="3"/>
        <v>0.14349999999999999</v>
      </c>
      <c r="E94">
        <f t="shared" si="4"/>
        <v>69.686411149825787</v>
      </c>
      <c r="F94">
        <f t="shared" si="5"/>
        <v>1463.4146341463415</v>
      </c>
    </row>
    <row r="95" spans="1:6" x14ac:dyDescent="0.2">
      <c r="A95" s="1" t="s">
        <v>98</v>
      </c>
      <c r="B95" s="1">
        <v>0.219</v>
      </c>
      <c r="C95" s="1">
        <v>3.6700000000000003E-2</v>
      </c>
      <c r="D95">
        <f t="shared" si="3"/>
        <v>0.18229999999999999</v>
      </c>
      <c r="E95">
        <f t="shared" si="4"/>
        <v>54.85463521667581</v>
      </c>
      <c r="F95">
        <f t="shared" si="5"/>
        <v>1151.9473395501921</v>
      </c>
    </row>
    <row r="96" spans="1:6" x14ac:dyDescent="0.2">
      <c r="A96" s="1" t="s">
        <v>99</v>
      </c>
      <c r="B96" s="1">
        <v>3.8699999999999998E-2</v>
      </c>
      <c r="C96" s="1">
        <v>3.6700000000000003E-2</v>
      </c>
      <c r="D96">
        <f t="shared" si="3"/>
        <v>1.9999999999999948E-3</v>
      </c>
      <c r="E96">
        <f t="shared" si="4"/>
        <v>5000.0000000000127</v>
      </c>
      <c r="F96">
        <f t="shared" si="5"/>
        <v>105000.00000000026</v>
      </c>
    </row>
    <row r="97" spans="1:6" x14ac:dyDescent="0.2">
      <c r="A97" s="1" t="s">
        <v>100</v>
      </c>
      <c r="B97" s="1">
        <v>4.6600000000000003E-2</v>
      </c>
      <c r="C97" s="1">
        <v>3.6700000000000003E-2</v>
      </c>
      <c r="D97">
        <f t="shared" si="3"/>
        <v>9.8999999999999991E-3</v>
      </c>
      <c r="E97">
        <f t="shared" si="4"/>
        <v>1010.1010101010102</v>
      </c>
      <c r="F97">
        <f t="shared" si="5"/>
        <v>21212.121212121212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Barron Sandoval</dc:creator>
  <cp:lastModifiedBy>Alberto Barron Sandoval</cp:lastModifiedBy>
  <dcterms:created xsi:type="dcterms:W3CDTF">2024-01-17T21:19:55Z</dcterms:created>
  <dcterms:modified xsi:type="dcterms:W3CDTF">2024-01-18T04:35:38Z</dcterms:modified>
</cp:coreProperties>
</file>